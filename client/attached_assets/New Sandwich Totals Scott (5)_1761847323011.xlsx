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InputData" sheetId="2" r:id="rId5"/>
    <sheet state="visible" name="ByLocation" sheetId="3" r:id="rId6"/>
    <sheet state="visible" name="Detail18-275-6262025" sheetId="4" r:id="rId7"/>
    <sheet state="visible" name="Detail17-111-5182022-GROUPS" sheetId="5" r:id="rId8"/>
    <sheet state="visible" name="ByWeekofYear" sheetId="6" r:id="rId9"/>
    <sheet state="visible" name="Dashboard" sheetId="7" r:id="rId10"/>
  </sheets>
  <definedNames>
    <definedName hidden="1" localSheetId="1" name="_xlnm._FilterDatabase">InputData!$A$1:$G$1687</definedName>
    <definedName hidden="1" localSheetId="1" name="Z_FD0E47CC_DA2D_4D8E_8458_0CC97C64C272_.wvu.FilterData">InputData!$A$1:$D$1649</definedName>
  </definedNames>
  <calcPr/>
  <customWorkbookViews>
    <customWorkbookView activeSheetId="0" maximized="1" windowHeight="0" windowWidth="0" guid="{FD0E47CC-DA2D-4D8E-8458-0CC97C64C272}" name="Filter 1"/>
  </customWorkbookViews>
  <pivotCaches>
    <pivotCache cacheId="0" r:id="rId11"/>
    <pivotCache cacheId="1" r:id="rId12"/>
    <pivotCache cacheId="2" r:id="rId13"/>
  </pivotCaches>
</workbook>
</file>

<file path=xl/sharedStrings.xml><?xml version="1.0" encoding="utf-8"?>
<sst xmlns="http://schemas.openxmlformats.org/spreadsheetml/2006/main" count="1885" uniqueCount="144">
  <si>
    <t>This Google Sheet is used to enter the sandwich counts by location for each week in the year. It contains weekly sandwich data from mid April 2020 to present.</t>
  </si>
  <si>
    <t>There are 54 tabs on the sheet:  Instructions (this tab), InputData, ByLocation, and ByWeekOfYear</t>
  </si>
  <si>
    <t>Instructions:</t>
  </si>
  <si>
    <t>This tab describes the purpose, structure and use of the Sheet</t>
  </si>
  <si>
    <t>InputData:</t>
  </si>
  <si>
    <t>This tab is used to enter each weeks sandwich counts for each location</t>
  </si>
  <si>
    <t>To enter data, go to the first blank row at the bottom of the table. It is important NOT to leave any blank rows!</t>
  </si>
  <si>
    <t>Double click in column A to open a date picker and select the appropriate data. Alternately you can type the date in the same format as the existing data.</t>
  </si>
  <si>
    <t>Double click on Column B and select the Location. Alternately just start typing the Location name and you will be presented with possible Locations.  Select the appropriate one.</t>
  </si>
  <si>
    <t>In Column C enter the number of Sandwiches.</t>
  </si>
  <si>
    <t>If you have more data to enter go to the next row and repeat the process</t>
  </si>
  <si>
    <t>ByLocation:</t>
  </si>
  <si>
    <t>This tab is a report that duplicates the original Sandwich Totals sheet</t>
  </si>
  <si>
    <r>
      <rPr>
        <rFont val="Verdana"/>
        <color theme="1"/>
      </rPr>
      <t xml:space="preserve">The report will automatically update when new data is entered on the input sheet. </t>
    </r>
    <r>
      <rPr>
        <rFont val="Verdana"/>
        <color rgb="FFFF0000"/>
      </rPr>
      <t xml:space="preserve"> DO NOT </t>
    </r>
    <r>
      <rPr>
        <rFont val="Verdana"/>
        <color theme="1"/>
      </rPr>
      <t>enter any data on this sheet!</t>
    </r>
  </si>
  <si>
    <t>The Locations labled as Previous are hidden to make the report more readable.</t>
  </si>
  <si>
    <t>ByWeekOfYear:</t>
  </si>
  <si>
    <t>This tab is a report of the sandwich counts by week for each year.</t>
  </si>
  <si>
    <r>
      <rPr>
        <rFont val="Verdana"/>
        <color theme="1"/>
      </rPr>
      <t xml:space="preserve">The report will automatically update when new data is entered on the input sheet.  </t>
    </r>
    <r>
      <rPr>
        <rFont val="Verdana"/>
        <color rgb="FFFF0000"/>
      </rPr>
      <t xml:space="preserve">DO NOT </t>
    </r>
    <r>
      <rPr>
        <rFont val="Verdana"/>
        <color theme="1"/>
      </rPr>
      <t>enter any data on this sheet!  (except in the Events table.)</t>
    </r>
  </si>
  <si>
    <t>This tab also has the weekly average numbers for each year and a manually created list of signifcant events and the week in which they occur.  This table can be added to as desired. It does not effect the report.</t>
  </si>
  <si>
    <t>The data on the report is formatted to show values greater than the weekly avarage for the year in Green and less than the weekly average for the year in Red.</t>
  </si>
  <si>
    <t xml:space="preserve">The intent of the formatting is to help predict if the future weeks will be "Up or Down" from the current weekly average, based on past years' performance for the same week of the year. </t>
  </si>
  <si>
    <t>There is also a Slicer called Location in the upper right of the sheet.  This allows you to select a location (or group of locations) to filter the data for your selection. To return to all of the data click the Select All choice in the dropdown.</t>
  </si>
  <si>
    <t>Dashboard</t>
  </si>
  <si>
    <t>This tab shows key metrics and charts.  This should update automatically as new data is entered.</t>
  </si>
  <si>
    <t>Development Notes:</t>
  </si>
  <si>
    <t>Sheet developed by Scott Bangert June 2025</t>
  </si>
  <si>
    <t>scott.bangert@icloud.com</t>
  </si>
  <si>
    <t>Date</t>
  </si>
  <si>
    <t>Location</t>
  </si>
  <si>
    <t>Sandwiches</t>
  </si>
  <si>
    <t>WeekOfYear</t>
  </si>
  <si>
    <t>WeekOfProgram</t>
  </si>
  <si>
    <t>Year</t>
  </si>
  <si>
    <t>Column 1</t>
  </si>
  <si>
    <t>GROUPS Numbers displayed only when not included in a host's count.</t>
  </si>
  <si>
    <t>ALPHARETTA ( Karen, Nancy, Carrey, Kelly, Jason)</t>
  </si>
  <si>
    <t>DUNWOODY/PTC (Marcy, Lisa, Darren, Renee, Suzanna, Sonika, Tracie)</t>
  </si>
  <si>
    <t>E COBB/ROSWELL (Natalie, Silke, Vicki, Rachel, Judy, Jenny)</t>
  </si>
  <si>
    <t>P'TREE CORNERS (Elaine, Renee V, Susannah, Tracie)</t>
  </si>
  <si>
    <t>PREVIOUS OAK GROVE</t>
  </si>
  <si>
    <t>SANDY SPRINGS (Allison, Jen, Terri, Sarah, Kate)</t>
  </si>
  <si>
    <t>DECATUR (Sonika)</t>
  </si>
  <si>
    <t>PREVIOUS BUCKHEAD</t>
  </si>
  <si>
    <t>SNELLVILLE</t>
  </si>
  <si>
    <t>INTOWN/DRUID HILLS (Laura, Jordan, Angie, Della, Julie, Ashley)</t>
  </si>
  <si>
    <t>Previous Woodstock</t>
  </si>
  <si>
    <t>Previous Lenox/Brookhaven</t>
  </si>
  <si>
    <t>Previous New Chastain</t>
  </si>
  <si>
    <t>Previous Glenwood Park</t>
  </si>
  <si>
    <t>FLOWERY BRANCH (Kristina)</t>
  </si>
  <si>
    <t>GROUPS</t>
  </si>
  <si>
    <t>Collective Learning</t>
  </si>
  <si>
    <t>TBD</t>
  </si>
  <si>
    <t>NCL</t>
  </si>
  <si>
    <t>Sandwich Totals</t>
  </si>
  <si>
    <t>Week Number</t>
  </si>
  <si>
    <t>Grand Total</t>
  </si>
  <si>
    <t>2020</t>
  </si>
  <si>
    <t>2021</t>
  </si>
  <si>
    <t>2022</t>
  </si>
  <si>
    <t>2023</t>
  </si>
  <si>
    <t>2024</t>
  </si>
  <si>
    <t>2025</t>
  </si>
  <si>
    <t>2026</t>
  </si>
  <si>
    <t xml:space="preserve"> Total</t>
  </si>
  <si>
    <t>1 Total</t>
  </si>
  <si>
    <t>2 Total</t>
  </si>
  <si>
    <t>Weekly Average</t>
  </si>
  <si>
    <t>3 Total</t>
  </si>
  <si>
    <t>4 Total</t>
  </si>
  <si>
    <t>5 Total</t>
  </si>
  <si>
    <t>Events</t>
  </si>
  <si>
    <t>6 Total</t>
  </si>
  <si>
    <t>Week of Event</t>
  </si>
  <si>
    <t>7 Total</t>
  </si>
  <si>
    <t>MLK</t>
  </si>
  <si>
    <t>8 Total</t>
  </si>
  <si>
    <t>SchoolEnd</t>
  </si>
  <si>
    <t>9 Total</t>
  </si>
  <si>
    <t>SchoolStart</t>
  </si>
  <si>
    <t>10 Total</t>
  </si>
  <si>
    <t>Thanksgiving</t>
  </si>
  <si>
    <t>11 Total</t>
  </si>
  <si>
    <t>Christmas</t>
  </si>
  <si>
    <t>12 Total</t>
  </si>
  <si>
    <t xml:space="preserve">NCL </t>
  </si>
  <si>
    <t>13 Total</t>
  </si>
  <si>
    <t>Presidents Day</t>
  </si>
  <si>
    <t>14 Total</t>
  </si>
  <si>
    <t>15 Total</t>
  </si>
  <si>
    <t>16 Total</t>
  </si>
  <si>
    <t>17 Total</t>
  </si>
  <si>
    <t>18 Total</t>
  </si>
  <si>
    <t>19 Total</t>
  </si>
  <si>
    <t>20 Total</t>
  </si>
  <si>
    <t>21 Total</t>
  </si>
  <si>
    <t>22 Total</t>
  </si>
  <si>
    <t>23 Total</t>
  </si>
  <si>
    <t>24 Total</t>
  </si>
  <si>
    <t>25 Total</t>
  </si>
  <si>
    <t>26 Total</t>
  </si>
  <si>
    <t>27 Total</t>
  </si>
  <si>
    <t>28 Total</t>
  </si>
  <si>
    <t>29 Total</t>
  </si>
  <si>
    <t>30 Total</t>
  </si>
  <si>
    <t>31 Total</t>
  </si>
  <si>
    <t>32 Total</t>
  </si>
  <si>
    <t>33 Total</t>
  </si>
  <si>
    <t>34 Total</t>
  </si>
  <si>
    <t>35 Total</t>
  </si>
  <si>
    <t>36 Total</t>
  </si>
  <si>
    <t>37 Total</t>
  </si>
  <si>
    <t>38 Total</t>
  </si>
  <si>
    <t>39 Total</t>
  </si>
  <si>
    <t>40 Total</t>
  </si>
  <si>
    <t>41 Total</t>
  </si>
  <si>
    <t>42 Total</t>
  </si>
  <si>
    <t>43 Total</t>
  </si>
  <si>
    <t>44 Total</t>
  </si>
  <si>
    <t>45 Total</t>
  </si>
  <si>
    <t>46 Total</t>
  </si>
  <si>
    <t>47 Total</t>
  </si>
  <si>
    <t>48 Total</t>
  </si>
  <si>
    <t>49 Total</t>
  </si>
  <si>
    <t>50 Total</t>
  </si>
  <si>
    <t>51 Total</t>
  </si>
  <si>
    <t>52 Total</t>
  </si>
  <si>
    <t>53 Total</t>
  </si>
  <si>
    <t>Sandwiches Made Since 2020</t>
  </si>
  <si>
    <t>Date Current as of:</t>
  </si>
  <si>
    <t>2025 YTD</t>
  </si>
  <si>
    <t>Values</t>
  </si>
  <si>
    <t>Sandwich Count</t>
  </si>
  <si>
    <t>% of Year Total</t>
  </si>
  <si>
    <t>$ per Sandwich</t>
  </si>
  <si>
    <t xml:space="preserve">GROUPS </t>
  </si>
  <si>
    <t>Total Value</t>
  </si>
  <si>
    <t xml:space="preserve">DUNWOODY/PTC </t>
  </si>
  <si>
    <t xml:space="preserve">ALPHARETTA </t>
  </si>
  <si>
    <t xml:space="preserve">E COBB/ROSWELL </t>
  </si>
  <si>
    <t xml:space="preserve">INTOWN/DRUID HILLS </t>
  </si>
  <si>
    <t xml:space="preserve">SANDY SPRINGS </t>
  </si>
  <si>
    <t xml:space="preserve">FLOWERY BRANCH </t>
  </si>
  <si>
    <t>COLLECTIVE LEARNING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</si>
</sst>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h:mm:ss"/>
    <numFmt numFmtId="166" formatCode="&quot;$&quot;#,##0.00"/>
    <numFmt numFmtId="167" formatCode="&quot;$&quot;#,##0"/>
  </numFmts>
  <fonts count="23">
    <font>
      <sz val="10.0"/>
      <color rgb="FF000000"/>
      <name val="Verdana"/>
      <scheme val="minor"/>
    </font>
    <font>
      <color theme="1"/>
      <name val="Verdana"/>
      <scheme val="minor"/>
    </font>
    <font>
      <b/>
      <color theme="1"/>
      <name val="Verdana"/>
      <scheme val="minor"/>
    </font>
    <font>
      <sz val="10.0"/>
      <color theme="1"/>
      <name val="Verdana"/>
      <scheme val="minor"/>
    </font>
    <font>
      <sz val="10.0"/>
      <color theme="1"/>
      <name val="Arial"/>
    </font>
    <font>
      <b/>
      <sz val="10.0"/>
      <color theme="1"/>
      <name val="Verdana"/>
      <scheme val="minor"/>
    </font>
    <font>
      <b/>
      <sz val="10.0"/>
      <color theme="1"/>
      <name val="Arial"/>
    </font>
    <font>
      <b/>
      <sz val="14.0"/>
      <color theme="1"/>
      <name val="Verdana"/>
      <scheme val="minor"/>
    </font>
    <font>
      <b/>
      <color rgb="FFFFFFFF"/>
      <name val="Verdana"/>
      <scheme val="minor"/>
    </font>
    <font>
      <b/>
      <color rgb="FFFFFFFF"/>
      <name val="Arial"/>
    </font>
    <font>
      <color theme="1"/>
      <name val="Arial"/>
    </font>
    <font>
      <b/>
      <color theme="1"/>
      <name val="Arial"/>
    </font>
    <font>
      <color theme="1"/>
      <name val="Verdana"/>
    </font>
    <font>
      <sz val="14.0"/>
      <color rgb="FFFFFFFF"/>
      <name val="Verdana"/>
    </font>
    <font>
      <sz val="24.0"/>
      <color theme="1"/>
      <name val="Verdana"/>
    </font>
    <font>
      <b/>
      <sz val="12.0"/>
      <color rgb="FFFFFFFF"/>
      <name val="Arial"/>
    </font>
    <font/>
    <font>
      <b/>
      <sz val="12.0"/>
      <color rgb="FF000000"/>
      <name val="Arial"/>
    </font>
    <font>
      <sz val="12.0"/>
      <color theme="1"/>
      <name val="Arial"/>
    </font>
    <font>
      <color rgb="FFFFFFFF"/>
      <name val="Verdana"/>
    </font>
    <font>
      <i/>
      <color rgb="FF000000"/>
      <name val="Verdana"/>
    </font>
    <font>
      <color rgb="FF000000"/>
      <name val="Verdana"/>
    </font>
    <font>
      <b/>
      <color rgb="FF000000"/>
      <name val="Verdana"/>
    </font>
  </fonts>
  <fills count="13">
    <fill>
      <patternFill patternType="none"/>
    </fill>
    <fill>
      <patternFill patternType="lightGray"/>
    </fill>
    <fill>
      <patternFill patternType="solid">
        <fgColor rgb="FFFFFFFF"/>
        <bgColor rgb="FFFFFFFF"/>
      </patternFill>
    </fill>
    <fill>
      <patternFill patternType="solid">
        <fgColor rgb="FF45706A"/>
        <bgColor rgb="FF45706A"/>
      </patternFill>
    </fill>
    <fill>
      <patternFill patternType="solid">
        <fgColor rgb="FFD9E7FD"/>
        <bgColor rgb="FFD9E7FD"/>
      </patternFill>
    </fill>
    <fill>
      <patternFill patternType="solid">
        <fgColor rgb="FFB7E1CD"/>
        <bgColor rgb="FFB7E1CD"/>
      </patternFill>
    </fill>
    <fill>
      <patternFill patternType="solid">
        <fgColor rgb="FF1A9988"/>
        <bgColor rgb="FF1A9988"/>
      </patternFill>
    </fill>
    <fill>
      <patternFill patternType="solid">
        <fgColor rgb="FFF3F3F3"/>
        <bgColor rgb="FFF3F3F3"/>
      </patternFill>
    </fill>
    <fill>
      <patternFill patternType="solid">
        <fgColor rgb="FFD0E0E3"/>
        <bgColor rgb="FFD0E0E3"/>
      </patternFill>
    </fill>
    <fill>
      <patternFill patternType="solid">
        <fgColor rgb="FFEEF1F1"/>
        <bgColor rgb="FFEEF1F1"/>
      </patternFill>
    </fill>
    <fill>
      <patternFill patternType="solid">
        <fgColor rgb="FFD0DBD9"/>
        <bgColor rgb="FFD0DBD9"/>
      </patternFill>
    </fill>
    <fill>
      <patternFill patternType="solid">
        <fgColor rgb="FF43706A"/>
        <bgColor rgb="FF43706A"/>
      </patternFill>
    </fill>
    <fill>
      <patternFill patternType="solid">
        <fgColor rgb="FFEFF3F3"/>
        <bgColor rgb="FFEFF3F3"/>
      </patternFill>
    </fill>
  </fills>
  <borders count="32">
    <border/>
    <border>
      <right style="thin">
        <color rgb="FF000000"/>
      </right>
    </border>
    <border>
      <left style="thin">
        <color rgb="FF000000"/>
      </left>
      <right style="thin">
        <color rgb="FF000000"/>
      </right>
    </border>
    <border>
      <left style="thin">
        <color rgb="FF000000"/>
      </left>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8CB5F9"/>
      </left>
      <top style="thin">
        <color rgb="FF8CB5F9"/>
      </top>
      <bottom style="thin">
        <color rgb="FF8CB5F9"/>
      </bottom>
    </border>
    <border>
      <top style="thin">
        <color rgb="FF8CB5F9"/>
      </top>
      <bottom style="thin">
        <color rgb="FF8CB5F9"/>
      </bottom>
    </border>
    <border>
      <right style="thin">
        <color rgb="FF8CB5F9"/>
      </right>
      <top style="thin">
        <color rgb="FF8CB5F9"/>
      </top>
      <bottom style="thin">
        <color rgb="FF8CB5F9"/>
      </bottom>
    </border>
    <border>
      <left style="thin">
        <color rgb="FF000000"/>
      </left>
      <top style="thin">
        <color rgb="FF000000"/>
      </top>
      <bottom style="thin">
        <color rgb="FF8CB5F9"/>
      </bottom>
    </border>
    <border>
      <top style="thin">
        <color rgb="FF000000"/>
      </top>
      <bottom style="thin">
        <color rgb="FF8CB5F9"/>
      </bottom>
    </border>
    <border>
      <right style="thin">
        <color rgb="FF000000"/>
      </right>
      <top style="thin">
        <color rgb="FF000000"/>
      </top>
      <bottom style="thin">
        <color rgb="FF8CB5F9"/>
      </bottom>
    </border>
    <border>
      <left style="thin">
        <color rgb="FF000000"/>
      </left>
      <top style="thin">
        <color rgb="FF8CB5F9"/>
      </top>
      <bottom style="thin">
        <color rgb="FF8CB5F9"/>
      </bottom>
    </border>
    <border>
      <right style="thin">
        <color rgb="FF000000"/>
      </right>
      <top style="thin">
        <color rgb="FF8CB5F9"/>
      </top>
      <bottom style="thin">
        <color rgb="FF8CB5F9"/>
      </bottom>
    </border>
    <border>
      <left style="thin">
        <color rgb="FF000000"/>
      </left>
      <top style="thin">
        <color rgb="FF8CB5F9"/>
      </top>
      <bottom style="thin">
        <color rgb="FF000000"/>
      </bottom>
    </border>
    <border>
      <top style="thin">
        <color rgb="FF8CB5F9"/>
      </top>
      <bottom style="thin">
        <color rgb="FF000000"/>
      </bottom>
    </border>
    <border>
      <right style="thin">
        <color rgb="FF000000"/>
      </right>
      <top style="thin">
        <color rgb="FF8CB5F9"/>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ck">
        <color rgb="FF43706A"/>
      </bottom>
    </border>
    <border>
      <top style="thin">
        <color rgb="FFFFFFFF"/>
      </top>
      <bottom style="thick">
        <color rgb="FF43706A"/>
      </bottom>
    </border>
    <border>
      <right style="thin">
        <color rgb="FFFFFFFF"/>
      </right>
    </border>
    <border>
      <top style="double">
        <color rgb="FF000000"/>
      </top>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left" readingOrder="0" shrinkToFit="0" vertical="center" wrapText="0"/>
    </xf>
    <xf borderId="0" fillId="0" fontId="3" numFmtId="3"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3" numFmtId="3"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4" numFmtId="3" xfId="0" applyAlignment="1" applyFont="1" applyNumberFormat="1">
      <alignment readingOrder="0" shrinkToFit="0" vertical="center" wrapText="0"/>
    </xf>
    <xf borderId="0" fillId="0" fontId="4" numFmtId="3"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5" numFmtId="3"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6" numFmtId="3"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3" numFmtId="0" xfId="0" applyFont="1"/>
    <xf borderId="0" fillId="0" fontId="1" numFmtId="0" xfId="0" applyFont="1"/>
    <xf borderId="0" fillId="0" fontId="1" numFmtId="164" xfId="0" applyAlignment="1" applyFont="1" applyNumberFormat="1">
      <alignment readingOrder="0"/>
    </xf>
    <xf borderId="0" fillId="0" fontId="3" numFmtId="0" xfId="0" applyAlignment="1" applyFont="1">
      <alignment readingOrder="0"/>
    </xf>
    <xf borderId="0" fillId="0" fontId="7" numFmtId="0" xfId="0" applyAlignment="1" applyFont="1">
      <alignment vertical="top"/>
    </xf>
    <xf borderId="0" fillId="0" fontId="7" numFmtId="0" xfId="0" applyFont="1"/>
    <xf borderId="0" fillId="0" fontId="2" numFmtId="0" xfId="0" applyFont="1"/>
    <xf borderId="0" fillId="0" fontId="2" numFmtId="0" xfId="0" applyAlignment="1" applyFont="1">
      <alignment shrinkToFit="0" vertical="center" wrapText="1"/>
    </xf>
    <xf borderId="0" fillId="0" fontId="2" numFmtId="0" xfId="0" applyAlignment="1" applyFont="1">
      <alignment shrinkToFit="0" vertical="top" wrapText="1"/>
    </xf>
    <xf borderId="0" fillId="0" fontId="1" numFmtId="0" xfId="0" applyAlignment="1" applyFont="1">
      <alignment shrinkToFit="0" wrapText="1"/>
    </xf>
    <xf borderId="1" fillId="0" fontId="1" numFmtId="164" xfId="0" applyBorder="1" applyFont="1" applyNumberFormat="1"/>
    <xf borderId="2" fillId="0" fontId="1" numFmtId="0" xfId="0" applyBorder="1" applyFont="1"/>
    <xf borderId="3" fillId="0" fontId="1" numFmtId="0" xfId="0" applyBorder="1" applyFont="1"/>
    <xf borderId="2" fillId="0" fontId="1" numFmtId="3" xfId="0" applyBorder="1" applyFont="1" applyNumberFormat="1"/>
    <xf borderId="2" fillId="0" fontId="2" numFmtId="0" xfId="0" applyBorder="1" applyFont="1"/>
    <xf borderId="0" fillId="0" fontId="1" numFmtId="164" xfId="0" applyFont="1" applyNumberFormat="1"/>
    <xf borderId="0" fillId="0" fontId="1" numFmtId="3" xfId="0" applyFont="1" applyNumberFormat="1"/>
    <xf borderId="0" fillId="2" fontId="1" numFmtId="0" xfId="0" applyFill="1" applyFont="1"/>
    <xf borderId="0" fillId="0" fontId="1" numFmtId="164" xfId="0" applyFont="1" applyNumberFormat="1"/>
    <xf borderId="3" fillId="0" fontId="1" numFmtId="3" xfId="0" applyBorder="1" applyFont="1" applyNumberFormat="1"/>
    <xf borderId="1" fillId="0" fontId="1" numFmtId="0" xfId="0" applyBorder="1" applyFont="1"/>
    <xf borderId="4" fillId="0" fontId="8" numFmtId="0" xfId="0" applyAlignment="1" applyBorder="1" applyFont="1">
      <alignment horizontal="center" readingOrder="0"/>
    </xf>
    <xf borderId="5" fillId="0" fontId="8" numFmtId="0" xfId="0" applyAlignment="1" applyBorder="1" applyFont="1">
      <alignment horizontal="center" readingOrder="0"/>
    </xf>
    <xf borderId="5" fillId="0" fontId="8" numFmtId="3" xfId="0" applyAlignment="1" applyBorder="1" applyFont="1" applyNumberFormat="1">
      <alignment horizontal="center" readingOrder="0"/>
    </xf>
    <xf borderId="6" fillId="0" fontId="8" numFmtId="0" xfId="0" applyAlignment="1" applyBorder="1" applyFont="1">
      <alignment horizontal="center" readingOrder="0"/>
    </xf>
    <xf borderId="7" fillId="0" fontId="1" numFmtId="164" xfId="0" applyAlignment="1" applyBorder="1" applyFont="1" applyNumberFormat="1">
      <alignment readingOrder="0"/>
    </xf>
    <xf borderId="8" fillId="0" fontId="1" numFmtId="0" xfId="0" applyAlignment="1" applyBorder="1" applyFont="1">
      <alignment readingOrder="0"/>
    </xf>
    <xf borderId="9" fillId="0" fontId="1" numFmtId="0" xfId="0" applyBorder="1" applyFont="1"/>
    <xf borderId="8" fillId="0" fontId="1" numFmtId="3" xfId="0" applyAlignment="1" applyBorder="1" applyFont="1" applyNumberFormat="1">
      <alignment readingOrder="0"/>
    </xf>
    <xf borderId="0" fillId="0" fontId="2" numFmtId="165" xfId="0" applyFont="1" applyNumberFormat="1"/>
    <xf borderId="1" fillId="0" fontId="1" numFmtId="0" xfId="0" applyBorder="1" applyFont="1"/>
    <xf borderId="2" fillId="0" fontId="1" numFmtId="0" xfId="0" applyBorder="1" applyFont="1"/>
    <xf borderId="2" fillId="0" fontId="1" numFmtId="3" xfId="0" applyBorder="1" applyFont="1" applyNumberFormat="1"/>
    <xf borderId="3" fillId="0" fontId="1" numFmtId="3" xfId="0" applyBorder="1" applyFont="1" applyNumberFormat="1"/>
    <xf borderId="10" fillId="3" fontId="9" numFmtId="0" xfId="0" applyAlignment="1" applyBorder="1" applyFill="1" applyFont="1">
      <alignment vertical="bottom"/>
    </xf>
    <xf borderId="11" fillId="3" fontId="9" numFmtId="0" xfId="0" applyAlignment="1" applyBorder="1" applyFont="1">
      <alignment horizontal="right" vertical="bottom"/>
    </xf>
    <xf borderId="12" fillId="3" fontId="9" numFmtId="0" xfId="0" applyAlignment="1" applyBorder="1" applyFont="1">
      <alignment horizontal="right" vertical="bottom"/>
    </xf>
    <xf borderId="10" fillId="4" fontId="10" numFmtId="0" xfId="0" applyAlignment="1" applyBorder="1" applyFill="1" applyFont="1">
      <alignment vertical="bottom"/>
    </xf>
    <xf borderId="11" fillId="4" fontId="10" numFmtId="1" xfId="0" applyAlignment="1" applyBorder="1" applyFont="1" applyNumberFormat="1">
      <alignment horizontal="right" vertical="bottom"/>
    </xf>
    <xf borderId="12" fillId="4" fontId="10" numFmtId="1" xfId="0" applyAlignment="1" applyBorder="1" applyFont="1" applyNumberFormat="1">
      <alignment horizontal="right" vertical="bottom"/>
    </xf>
    <xf borderId="0" fillId="0" fontId="11" numFmtId="0" xfId="0" applyAlignment="1" applyFont="1">
      <alignment vertical="bottom"/>
    </xf>
    <xf borderId="0" fillId="0" fontId="10" numFmtId="0" xfId="0" applyAlignment="1" applyFont="1">
      <alignment vertical="bottom"/>
    </xf>
    <xf borderId="13" fillId="3" fontId="9" numFmtId="0" xfId="0" applyAlignment="1" applyBorder="1" applyFont="1">
      <alignment vertical="bottom"/>
    </xf>
    <xf borderId="14" fillId="3" fontId="9" numFmtId="0" xfId="0" applyAlignment="1" applyBorder="1" applyFont="1">
      <alignment horizontal="right" vertical="bottom"/>
    </xf>
    <xf borderId="15" fillId="3" fontId="9" numFmtId="0" xfId="0" applyAlignment="1" applyBorder="1" applyFont="1">
      <alignment horizontal="right" vertical="bottom"/>
    </xf>
    <xf borderId="16" fillId="5" fontId="10" numFmtId="0" xfId="0" applyAlignment="1" applyBorder="1" applyFill="1" applyFont="1">
      <alignment vertical="bottom"/>
    </xf>
    <xf borderId="11" fillId="4" fontId="10" numFmtId="0" xfId="0" applyAlignment="1" applyBorder="1" applyFont="1">
      <alignment horizontal="right" vertical="bottom"/>
    </xf>
    <xf borderId="17" fillId="4" fontId="10" numFmtId="0" xfId="0" applyAlignment="1" applyBorder="1" applyFont="1">
      <alignment horizontal="right" vertical="bottom"/>
    </xf>
    <xf borderId="12" fillId="4" fontId="10" numFmtId="0" xfId="0" applyAlignment="1" applyBorder="1" applyFont="1">
      <alignment horizontal="right" vertical="bottom"/>
    </xf>
    <xf borderId="16" fillId="0" fontId="10" numFmtId="0" xfId="0" applyAlignment="1" applyBorder="1" applyFont="1">
      <alignment vertical="bottom"/>
    </xf>
    <xf borderId="11" fillId="0" fontId="10" numFmtId="0" xfId="0" applyAlignment="1" applyBorder="1" applyFont="1">
      <alignment horizontal="right" vertical="bottom"/>
    </xf>
    <xf borderId="17" fillId="0" fontId="10" numFmtId="0" xfId="0" applyAlignment="1" applyBorder="1" applyFont="1">
      <alignment horizontal="right" vertical="bottom"/>
    </xf>
    <xf borderId="12" fillId="0" fontId="10" numFmtId="0" xfId="0" applyAlignment="1" applyBorder="1" applyFont="1">
      <alignment horizontal="right" vertical="bottom"/>
    </xf>
    <xf borderId="16" fillId="4" fontId="10" numFmtId="0" xfId="0" applyAlignment="1" applyBorder="1" applyFont="1">
      <alignment vertical="bottom"/>
    </xf>
    <xf borderId="3" fillId="4" fontId="10" numFmtId="0" xfId="0" applyAlignment="1" applyBorder="1" applyFont="1">
      <alignment readingOrder="0" vertical="bottom"/>
    </xf>
    <xf borderId="0" fillId="4" fontId="10" numFmtId="0" xfId="0" applyAlignment="1" applyFont="1">
      <alignment horizontal="right" vertical="bottom"/>
    </xf>
    <xf borderId="1" fillId="4" fontId="10" numFmtId="0" xfId="0" applyAlignment="1" applyBorder="1" applyFont="1">
      <alignment horizontal="right" vertical="bottom"/>
    </xf>
    <xf borderId="18" fillId="0" fontId="10" numFmtId="0" xfId="0" applyAlignment="1" applyBorder="1" applyFont="1">
      <alignment vertical="bottom"/>
    </xf>
    <xf borderId="19" fillId="0" fontId="10" numFmtId="0" xfId="0" applyAlignment="1" applyBorder="1" applyFont="1">
      <alignment horizontal="right" vertical="bottom"/>
    </xf>
    <xf borderId="20" fillId="0" fontId="10" numFmtId="0" xfId="0" applyAlignment="1" applyBorder="1" applyFont="1">
      <alignment horizontal="right" vertical="bottom"/>
    </xf>
    <xf borderId="0" fillId="0" fontId="12" numFmtId="0" xfId="0" applyAlignment="1" applyFont="1">
      <alignment vertical="bottom"/>
    </xf>
    <xf borderId="0" fillId="0" fontId="12" numFmtId="0" xfId="0" applyAlignment="1" applyFont="1">
      <alignment vertical="top"/>
    </xf>
    <xf borderId="21" fillId="6" fontId="13" numFmtId="0" xfId="0" applyAlignment="1" applyBorder="1" applyFill="1" applyFont="1">
      <alignment shrinkToFit="0" vertical="bottom" wrapText="1"/>
    </xf>
    <xf borderId="22" fillId="0" fontId="14" numFmtId="3" xfId="0" applyAlignment="1" applyBorder="1" applyFont="1" applyNumberFormat="1">
      <alignment horizontal="center" vertical="center"/>
    </xf>
    <xf borderId="21" fillId="0" fontId="12" numFmtId="0" xfId="0" applyAlignment="1" applyBorder="1" applyFont="1">
      <alignment horizontal="right" readingOrder="0" vertical="bottom"/>
    </xf>
    <xf borderId="22" fillId="7" fontId="12" numFmtId="14" xfId="0" applyAlignment="1" applyBorder="1" applyFill="1" applyFont="1" applyNumberFormat="1">
      <alignment vertical="bottom"/>
    </xf>
    <xf borderId="23" fillId="6" fontId="12" numFmtId="0" xfId="0" applyAlignment="1" applyBorder="1" applyFont="1">
      <alignment vertical="bottom"/>
    </xf>
    <xf borderId="23" fillId="6" fontId="15" numFmtId="0" xfId="0" applyAlignment="1" applyBorder="1" applyFont="1">
      <alignment horizontal="center" vertical="bottom"/>
    </xf>
    <xf borderId="24" fillId="6" fontId="15" numFmtId="0" xfId="0" applyAlignment="1" applyBorder="1" applyFont="1">
      <alignment horizontal="center" vertical="bottom"/>
    </xf>
    <xf borderId="25" fillId="0" fontId="16" numFmtId="0" xfId="0" applyBorder="1" applyFont="1"/>
    <xf borderId="26" fillId="0" fontId="16" numFmtId="0" xfId="0" applyBorder="1" applyFont="1"/>
    <xf borderId="2" fillId="8" fontId="17" numFmtId="0" xfId="0" applyAlignment="1" applyBorder="1" applyFill="1" applyFont="1">
      <alignment vertical="bottom"/>
    </xf>
    <xf borderId="2" fillId="8" fontId="18" numFmtId="3" xfId="0" applyAlignment="1" applyBorder="1" applyFont="1" applyNumberFormat="1">
      <alignment horizontal="right" vertical="bottom"/>
    </xf>
    <xf borderId="2" fillId="6" fontId="15" numFmtId="0" xfId="0" applyAlignment="1" applyBorder="1" applyFont="1">
      <alignment horizontal="center" vertical="bottom"/>
    </xf>
    <xf borderId="2" fillId="8" fontId="18" numFmtId="166" xfId="0" applyAlignment="1" applyBorder="1" applyFont="1" applyNumberFormat="1">
      <alignment horizontal="right" vertical="bottom"/>
    </xf>
    <xf borderId="2" fillId="9" fontId="12" numFmtId="0" xfId="0" applyAlignment="1" applyBorder="1" applyFill="1" applyFont="1">
      <alignment vertical="bottom"/>
    </xf>
    <xf borderId="2" fillId="9" fontId="12" numFmtId="3" xfId="0" applyAlignment="1" applyBorder="1" applyFont="1" applyNumberFormat="1">
      <alignment horizontal="right" vertical="bottom"/>
    </xf>
    <xf borderId="2" fillId="9" fontId="12" numFmtId="9" xfId="0" applyAlignment="1" applyBorder="1" applyFont="1" applyNumberFormat="1">
      <alignment horizontal="right" vertical="bottom"/>
    </xf>
    <xf borderId="27" fillId="8" fontId="17" numFmtId="0" xfId="0" applyAlignment="1" applyBorder="1" applyFont="1">
      <alignment vertical="bottom"/>
    </xf>
    <xf borderId="27" fillId="8" fontId="18" numFmtId="167" xfId="0" applyAlignment="1" applyBorder="1" applyFont="1" applyNumberFormat="1">
      <alignment horizontal="right" vertical="bottom"/>
    </xf>
    <xf borderId="0" fillId="0" fontId="1" numFmtId="10" xfId="0" applyFont="1" applyNumberFormat="1"/>
    <xf borderId="27" fillId="6" fontId="19" numFmtId="0" xfId="0" applyAlignment="1" applyBorder="1" applyFont="1">
      <alignment vertical="bottom"/>
    </xf>
    <xf borderId="27" fillId="6" fontId="19" numFmtId="3" xfId="0" applyAlignment="1" applyBorder="1" applyFont="1" applyNumberFormat="1">
      <alignment horizontal="right" vertical="bottom"/>
    </xf>
    <xf borderId="27" fillId="6" fontId="19" numFmtId="9" xfId="0" applyAlignment="1" applyBorder="1" applyFont="1" applyNumberFormat="1">
      <alignment horizontal="right" vertical="bottom"/>
    </xf>
    <xf borderId="0" fillId="0" fontId="12" numFmtId="10" xfId="0" applyAlignment="1" applyFont="1" applyNumberFormat="1">
      <alignment vertical="bottom"/>
    </xf>
    <xf borderId="0" fillId="10" fontId="12" numFmtId="0" xfId="0" applyAlignment="1" applyFill="1" applyFont="1">
      <alignment vertical="bottom"/>
    </xf>
    <xf borderId="0" fillId="10" fontId="20" numFmtId="0" xfId="0" applyAlignment="1" applyFont="1">
      <alignment vertical="bottom"/>
    </xf>
    <xf borderId="0" fillId="11" fontId="19" numFmtId="0" xfId="0" applyAlignment="1" applyFill="1" applyFont="1">
      <alignment horizontal="right" vertical="bottom"/>
    </xf>
    <xf borderId="0" fillId="11" fontId="12" numFmtId="0" xfId="0" applyAlignment="1" applyFont="1">
      <alignment vertical="bottom"/>
    </xf>
    <xf borderId="28" fillId="10" fontId="20" numFmtId="0" xfId="0" applyAlignment="1" applyBorder="1" applyFont="1">
      <alignment vertical="bottom"/>
    </xf>
    <xf borderId="29" fillId="11" fontId="19" numFmtId="3" xfId="0" applyAlignment="1" applyBorder="1" applyFont="1" applyNumberFormat="1">
      <alignment horizontal="center" vertical="bottom"/>
    </xf>
    <xf borderId="29" fillId="11" fontId="19" numFmtId="0" xfId="0" applyAlignment="1" applyBorder="1" applyFont="1">
      <alignment horizontal="center" vertical="bottom"/>
    </xf>
    <xf borderId="30" fillId="12" fontId="21" numFmtId="0" xfId="0" applyAlignment="1" applyBorder="1" applyFill="1" applyFont="1">
      <alignment vertical="bottom"/>
    </xf>
    <xf borderId="0" fillId="2" fontId="21" numFmtId="3" xfId="0" applyAlignment="1" applyFont="1" applyNumberFormat="1">
      <alignment horizontal="center" vertical="bottom"/>
    </xf>
    <xf borderId="0" fillId="2" fontId="21" numFmtId="9" xfId="0" applyAlignment="1" applyFont="1" applyNumberFormat="1">
      <alignment horizontal="center" vertical="bottom"/>
    </xf>
    <xf borderId="31" fillId="10" fontId="22" numFmtId="0" xfId="0" applyAlignment="1" applyBorder="1" applyFont="1">
      <alignment vertical="bottom"/>
    </xf>
    <xf borderId="31" fillId="10" fontId="22" numFmtId="3" xfId="0" applyAlignment="1" applyBorder="1" applyFont="1" applyNumberFormat="1">
      <alignment horizontal="center" vertical="bottom"/>
    </xf>
    <xf borderId="31" fillId="10" fontId="22" numFmtId="9" xfId="0" applyAlignment="1" applyBorder="1" applyFont="1" applyNumberFormat="1">
      <alignment horizontal="center" vertical="bottom"/>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B7E1CD"/>
          <bgColor rgb="FFB7E1CD"/>
        </patternFill>
      </fill>
      <border/>
    </dxf>
    <dxf>
      <font/>
      <fill>
        <patternFill patternType="solid">
          <fgColor rgb="FFE6B8AF"/>
          <bgColor rgb="FFE6B8AF"/>
        </patternFill>
      </fill>
      <border/>
    </dxf>
    <dxf>
      <font/>
      <fill>
        <patternFill patternType="solid">
          <fgColor rgb="FF78909C"/>
          <bgColor rgb="FF78909C"/>
        </patternFill>
      </fill>
      <border/>
    </dxf>
  </dxfs>
  <tableStyles count="6">
    <tableStyle count="2" pivot="0" name="ByLocation-style">
      <tableStyleElement dxfId="1" type="firstRowStripe"/>
      <tableStyleElement dxfId="2" type="secondRowStripe"/>
    </tableStyle>
    <tableStyle count="3" pivot="0" name="Detail18-275-6262025-style">
      <tableStyleElement dxfId="3" type="headerRow"/>
      <tableStyleElement dxfId="4" type="firstRowStripe"/>
      <tableStyleElement dxfId="1" type="secondRowStripe"/>
    </tableStyle>
    <tableStyle count="3" pivot="0" name="Detail17-111-5182022-GROUPS-style">
      <tableStyleElement dxfId="3" type="headerRow"/>
      <tableStyleElement dxfId="4" type="firstRowStripe"/>
      <tableStyleElement dxfId="1" type="secondRowStripe"/>
    </tableStyle>
    <tableStyle count="3" pivot="0" name="ByWeekofYear-style">
      <tableStyleElement dxfId="7" type="headerRow"/>
      <tableStyleElement dxfId="1" type="firstRowStripe"/>
      <tableStyleElement dxfId="4" type="secondRowStripe"/>
    </tableStyle>
    <tableStyle count="3" pivot="0" name="ByWeekofYear-style 2">
      <tableStyleElement dxfId="7" type="headerRow"/>
      <tableStyleElement dxfId="1" type="firstRowStripe"/>
      <tableStyleElement dxfId="4" type="secondRowStripe"/>
    </tableStyle>
    <tableStyle count="3" pivot="0" name="ByWeekofYear-style 3">
      <tableStyleElement dxfId="7"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Sandwich Counts </a:t>
            </a:r>
          </a:p>
        </c:rich>
      </c:tx>
      <c:overlay val="0"/>
    </c:title>
    <c:plotArea>
      <c:layout/>
      <c:barChart>
        <c:barDir val="col"/>
        <c:ser>
          <c:idx val="0"/>
          <c:order val="0"/>
          <c:tx>
            <c:strRef>
              <c:f>Dashboard!$B$28</c:f>
            </c:strRef>
          </c:tx>
          <c:spPr>
            <a:solidFill>
              <a:schemeClr val="accent1"/>
            </a:solidFill>
            <a:ln cmpd="sng">
              <a:solidFill>
                <a:srgbClr val="000000"/>
              </a:solidFill>
            </a:ln>
          </c:spPr>
          <c:cat>
            <c:strRef>
              <c:f>Dashboard!$C$27:$F$27</c:f>
            </c:strRef>
          </c:cat>
          <c:val>
            <c:numRef>
              <c:f>Dashboard!$C$28:$F$28</c:f>
              <c:numCache/>
            </c:numRef>
          </c:val>
        </c:ser>
        <c:axId val="789301252"/>
        <c:axId val="1357679255"/>
      </c:barChart>
      <c:catAx>
        <c:axId val="78930125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1357679255"/>
      </c:catAx>
      <c:valAx>
        <c:axId val="1357679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789301252"/>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Sandwich Counts 2025 vs 2024</a:t>
            </a:r>
          </a:p>
        </c:rich>
      </c:tx>
      <c:overlay val="0"/>
    </c:title>
    <c:plotArea>
      <c:layout/>
      <c:barChart>
        <c:barDir val="col"/>
        <c:ser>
          <c:idx val="0"/>
          <c:order val="0"/>
          <c:tx>
            <c:v>2024</c:v>
          </c:tx>
          <c:spPr>
            <a:solidFill>
              <a:srgbClr val="E6B8AF"/>
            </a:solidFill>
            <a:ln cmpd="sng">
              <a:solidFill>
                <a:srgbClr val="000000"/>
              </a:solidFill>
            </a:ln>
          </c:spPr>
          <c:cat>
            <c:strRef>
              <c:f>Dashboard!$H$29:$H$79</c:f>
            </c:strRef>
          </c:cat>
          <c:val>
            <c:numRef>
              <c:f>Dashboard!$I$29:$I$79</c:f>
              <c:numCache/>
            </c:numRef>
          </c:val>
        </c:ser>
        <c:axId val="1279962356"/>
        <c:axId val="708095037"/>
      </c:barChart>
      <c:lineChart>
        <c:varyColors val="0"/>
        <c:ser>
          <c:idx val="1"/>
          <c:order val="1"/>
          <c:tx>
            <c:v>2025</c:v>
          </c:tx>
          <c:spPr>
            <a:ln cmpd="sng" w="38100">
              <a:solidFill>
                <a:srgbClr val="6AA84F">
                  <a:alpha val="100000"/>
                </a:srgbClr>
              </a:solidFill>
              <a:prstDash val="solid"/>
            </a:ln>
          </c:spPr>
          <c:marker>
            <c:symbol val="none"/>
          </c:marker>
          <c:cat>
            <c:strRef>
              <c:f>Dashboard!$H$29:$H$79</c:f>
            </c:strRef>
          </c:cat>
          <c:val>
            <c:numRef>
              <c:f>Dashboard!$J$29:$J$79</c:f>
              <c:numCache/>
            </c:numRef>
          </c:val>
          <c:smooth val="0"/>
        </c:ser>
        <c:axId val="1279962356"/>
        <c:axId val="708095037"/>
      </c:lineChart>
      <c:catAx>
        <c:axId val="1279962356"/>
        <c:scaling>
          <c:orientation val="minMax"/>
          <c:max val="52.0"/>
        </c:scaling>
        <c:delete val="0"/>
        <c:axPos val="b"/>
        <c:title>
          <c:tx>
            <c:rich>
              <a:bodyPr/>
              <a:lstStyle/>
              <a:p>
                <a:pPr lvl="0">
                  <a:defRPr b="0">
                    <a:solidFill>
                      <a:srgbClr val="1A1A1A"/>
                    </a:solidFill>
                    <a:latin typeface="+mn-lt"/>
                  </a:defRPr>
                </a:pPr>
                <a:r>
                  <a:rPr b="0">
                    <a:solidFill>
                      <a:srgbClr val="1A1A1A"/>
                    </a:solidFill>
                    <a:latin typeface="+mn-lt"/>
                  </a:rPr>
                  <a:t>WeekOfYear</a:t>
                </a:r>
              </a:p>
            </c:rich>
          </c:tx>
          <c:overlay val="0"/>
        </c:title>
        <c:numFmt formatCode="General" sourceLinked="1"/>
        <c:majorTickMark val="cross"/>
        <c:minorTickMark val="none"/>
        <c:spPr/>
        <c:txPr>
          <a:bodyPr/>
          <a:lstStyle/>
          <a:p>
            <a:pPr lvl="0">
              <a:defRPr b="0">
                <a:solidFill>
                  <a:srgbClr val="1A1A1A"/>
                </a:solidFill>
                <a:latin typeface="+mn-lt"/>
              </a:defRPr>
            </a:pPr>
          </a:p>
        </c:txPr>
        <c:crossAx val="708095037"/>
      </c:catAx>
      <c:valAx>
        <c:axId val="70809503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279962356"/>
        <c:minorUnit val="1000.0"/>
      </c:valAx>
    </c:plotArea>
    <c:legend>
      <c:legendPos val="t"/>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Sandwiches by Location 2025 YTD</a:t>
            </a:r>
          </a:p>
        </c:rich>
      </c:tx>
      <c:overlay val="0"/>
    </c:title>
    <c:plotArea>
      <c:layout/>
      <c:doughnutChart>
        <c:varyColors val="1"/>
        <c:ser>
          <c:idx val="0"/>
          <c:order val="0"/>
          <c:dPt>
            <c:idx val="0"/>
            <c:spPr>
              <a:solidFill>
                <a:srgbClr val="1A9988"/>
              </a:solidFill>
            </c:spPr>
          </c:dPt>
          <c:dPt>
            <c:idx val="1"/>
            <c:spPr>
              <a:solidFill>
                <a:srgbClr val="2D729D"/>
              </a:solidFill>
            </c:spPr>
          </c:dPt>
          <c:dPt>
            <c:idx val="2"/>
            <c:spPr>
              <a:solidFill>
                <a:srgbClr val="1F3E78"/>
              </a:solidFill>
            </c:spPr>
          </c:dPt>
          <c:dPt>
            <c:idx val="3"/>
            <c:spPr>
              <a:solidFill>
                <a:srgbClr val="EB5600"/>
              </a:solidFill>
            </c:spPr>
          </c:dPt>
          <c:dPt>
            <c:idx val="4"/>
            <c:spPr>
              <a:solidFill>
                <a:srgbClr val="FF99AC"/>
              </a:solidFill>
            </c:spPr>
          </c:dPt>
          <c:dPt>
            <c:idx val="5"/>
            <c:spPr>
              <a:solidFill>
                <a:srgbClr val="FFD4B8"/>
              </a:solidFill>
            </c:spPr>
          </c:dPt>
          <c:dPt>
            <c:idx val="6"/>
            <c:spPr>
              <a:solidFill>
                <a:srgbClr val="5FB8AC"/>
              </a:solidFill>
            </c:spPr>
          </c:dPt>
          <c:dPt>
            <c:idx val="7"/>
            <c:spPr>
              <a:solidFill>
                <a:srgbClr val="6C9CBA"/>
              </a:solidFill>
            </c:spPr>
          </c:dPt>
          <c:dLbls>
            <c:showLegendKey val="0"/>
            <c:showVal val="1"/>
            <c:showCatName val="0"/>
            <c:showSerName val="0"/>
            <c:showPercent val="0"/>
            <c:showBubbleSize val="0"/>
            <c:showLeaderLines val="1"/>
          </c:dLbls>
          <c:cat>
            <c:strRef>
              <c:f>Dashboard!$M$29:$M$36</c:f>
            </c:strRef>
          </c:cat>
          <c:val>
            <c:numRef>
              <c:f>Dashboard!$N$29:$N$36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sz="1000">
              <a:solidFill>
                <a:srgbClr val="313131"/>
              </a:solidFill>
              <a:latin typeface="Arial"/>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6</xdr:row>
      <xdr:rowOff>200025</xdr:rowOff>
    </xdr:from>
    <xdr:ext cx="5381625" cy="3305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95250</xdr:colOff>
      <xdr:row>6</xdr:row>
      <xdr:rowOff>200025</xdr:rowOff>
    </xdr:from>
    <xdr:ext cx="6810375" cy="3305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704850</xdr:colOff>
      <xdr:row>7</xdr:row>
      <xdr:rowOff>0</xdr:rowOff>
    </xdr:from>
    <xdr:ext cx="4743450" cy="33051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47625</xdr:colOff>
      <xdr:row>1</xdr:row>
      <xdr:rowOff>28575</xdr:rowOff>
    </xdr:from>
    <xdr:ext cx="4029075" cy="13620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687" sheet="InputData"/>
  </cacheSource>
  <cacheFields>
    <cacheField name="Date" numFmtId="164">
      <sharedItems containsDate="1" containsString="0" containsBlank="1">
        <d v="2020-04-22T00:00:00Z"/>
        <d v="2020-04-29T00:00:00Z"/>
        <d v="2020-05-06T00:00:00Z"/>
        <d v="2020-05-13T00:00:00Z"/>
        <d v="2020-05-20T00:00:00Z"/>
        <d v="2020-05-27T00:00:00Z"/>
        <d v="2020-06-03T00:00:00Z"/>
        <d v="2020-06-10T00:00:00Z"/>
        <d v="2020-06-17T00:00:00Z"/>
        <d v="2020-06-24T00:00:00Z"/>
        <d v="2020-07-01T00:00:00Z"/>
        <d v="2020-07-08T00:00:00Z"/>
        <d v="2020-07-15T00:00:00Z"/>
        <d v="2020-07-22T00:00:00Z"/>
        <d v="2020-07-29T00:00:00Z"/>
        <d v="2020-08-05T00:00:00Z"/>
        <d v="2020-08-12T00:00:00Z"/>
        <d v="2020-08-19T00:00:00Z"/>
        <d v="2020-08-26T00:00:00Z"/>
        <d v="2020-09-02T00:00:00Z"/>
        <d v="2020-09-09T00:00:00Z"/>
        <d v="2020-09-16T00:00:00Z"/>
        <d v="2020-09-23T00:00:00Z"/>
        <d v="2020-09-30T00:00:00Z"/>
        <d v="2020-10-07T00:00:00Z"/>
        <d v="2020-10-14T00:00:00Z"/>
        <d v="2020-10-21T00:00:00Z"/>
        <d v="2020-10-28T00:00:00Z"/>
        <d v="2020-11-04T00:00:00Z"/>
        <d v="2020-11-11T00:00:00Z"/>
        <d v="2020-11-18T00:00:00Z"/>
        <d v="2020-11-25T00:00:00Z"/>
        <d v="2020-12-02T00:00:00Z"/>
        <d v="2020-12-09T00:00:00Z"/>
        <d v="2020-12-16T00:00:00Z"/>
        <d v="2020-12-23T00:00:00Z"/>
        <d v="2020-12-30T00:00:00Z"/>
        <d v="2021-01-06T00:00:00Z"/>
        <d v="2021-01-13T00:00:00Z"/>
        <d v="2021-01-20T00:00:00Z"/>
        <d v="2021-01-27T00:00:00Z"/>
        <d v="2021-02-03T00:00:00Z"/>
        <d v="2021-02-10T00:00:00Z"/>
        <d v="2021-02-17T00:00:00Z"/>
        <d v="2021-02-24T00:00:00Z"/>
        <d v="2021-03-03T00:00:00Z"/>
        <d v="2021-03-10T00:00:00Z"/>
        <d v="2021-03-17T00:00:00Z"/>
        <d v="2021-03-24T00:00:00Z"/>
        <d v="2021-03-31T00:00:00Z"/>
        <d v="2021-04-07T00:00:00Z"/>
        <d v="2021-04-14T00:00:00Z"/>
        <d v="2021-04-21T00:00:00Z"/>
        <d v="2021-04-28T00:00:00Z"/>
        <d v="2021-05-05T00:00:00Z"/>
        <d v="2021-05-12T00:00:00Z"/>
        <d v="2021-05-19T00:00:00Z"/>
        <d v="2021-05-26T00:00:00Z"/>
        <d v="2021-06-02T00:00:00Z"/>
        <d v="2021-06-09T00:00:00Z"/>
        <d v="2021-06-16T00:00:00Z"/>
        <d v="2021-06-23T00:00:00Z"/>
        <d v="2021-06-30T00:00:00Z"/>
        <d v="2021-07-07T00:00:00Z"/>
        <d v="2021-07-14T00:00:00Z"/>
        <d v="2021-07-21T00:00:00Z"/>
        <d v="2021-07-28T00:00:00Z"/>
        <d v="2021-08-04T00:00:00Z"/>
        <d v="2021-08-11T00:00:00Z"/>
        <d v="2021-08-18T00:00:00Z"/>
        <d v="2021-08-25T00:00:00Z"/>
        <d v="2021-09-01T00:00:00Z"/>
        <d v="2021-09-08T00:00:00Z"/>
        <d v="2021-09-15T00:00:00Z"/>
        <d v="2021-09-22T00:00:00Z"/>
        <d v="2021-09-29T00:00:00Z"/>
        <d v="2021-10-06T00:00:00Z"/>
        <d v="2021-10-13T00:00:00Z"/>
        <d v="2021-10-20T00:00:00Z"/>
        <d v="2021-10-27T00:00:00Z"/>
        <d v="2021-11-03T00:00:00Z"/>
        <d v="2021-11-10T00:00:00Z"/>
        <d v="2021-11-17T00:00:00Z"/>
        <d v="2021-11-22T00:00:00Z"/>
        <d v="2021-12-01T00:00:00Z"/>
        <d v="2021-12-08T00:00:00Z"/>
        <d v="2021-12-15T00:00:00Z"/>
        <d v="2021-12-29T00:00:00Z"/>
        <d v="2022-01-03T00:00:00Z"/>
        <d v="2022-01-05T00:00:00Z"/>
        <d v="2022-01-12T00:00:00Z"/>
        <d v="2022-01-17T00:00:00Z"/>
        <d v="2022-01-19T00:00:00Z"/>
        <d v="2022-01-26T00:00:00Z"/>
        <d v="2022-02-02T00:00:00Z"/>
        <d v="2022-02-09T00:00:00Z"/>
        <d v="2022-02-16T00:00:00Z"/>
        <d v="2022-02-17T00:00:00Z"/>
        <d v="2022-02-23T00:00:00Z"/>
        <d v="2022-03-02T00:00:00Z"/>
        <d v="2022-03-09T00:00:00Z"/>
        <d v="2022-03-16T00:00:00Z"/>
        <d v="2022-03-23T00:00:00Z"/>
        <d v="2022-03-30T00:00:00Z"/>
        <d v="2022-04-06T00:00:00Z"/>
        <d v="2022-04-13T00:00:00Z"/>
        <d v="2022-04-20T00:00:00Z"/>
        <d v="2022-04-27T00:00:00Z"/>
        <d v="2022-05-04T00:00:00Z"/>
        <d v="2022-05-11T00:00:00Z"/>
        <d v="2022-05-15T00:00:00Z"/>
        <d v="2022-05-18T00:00:00Z"/>
        <d v="2022-06-01T00:00:00Z"/>
        <d v="2022-06-08T00:00:00Z"/>
        <d v="2022-06-15T00:00:00Z"/>
        <d v="2022-06-22T00:00:00Z"/>
        <d v="2022-06-29T00:00:00Z"/>
        <d v="2022-07-06T00:00:00Z"/>
        <d v="2022-07-13T00:00:00Z"/>
        <d v="2022-07-20T00:00:00Z"/>
        <d v="2022-07-27T00:00:00Z"/>
        <d v="2022-08-03T00:00:00Z"/>
        <d v="2022-08-10T00:00:00Z"/>
        <d v="2022-08-17T00:00:00Z"/>
        <d v="2022-08-24T00:00:00Z"/>
        <d v="2022-08-31T00:00:00Z"/>
        <d v="2022-09-07T00:00:00Z"/>
        <d v="2022-09-14T00:00:00Z"/>
        <d v="2022-09-21T00:00:00Z"/>
        <d v="2022-09-28T00:00:00Z"/>
        <d v="2022-10-05T00:00:00Z"/>
        <d v="2022-10-12T00:00:00Z"/>
        <d v="2022-10-19T00:00:00Z"/>
        <d v="2022-10-26T00:00:00Z"/>
        <d v="2022-11-02T00:00:00Z"/>
        <d v="2022-11-09T00:00:00Z"/>
        <d v="2022-11-16T00:00:00Z"/>
        <d v="2022-11-30T00:00:00Z"/>
        <d v="2022-12-07T00:00:00Z"/>
        <d v="2022-12-14T00:00:00Z"/>
        <d v="2022-12-21T00:00:00Z"/>
        <d v="2022-12-28T00:00:00Z"/>
        <d v="2023-01-04T00:00:00Z"/>
        <d v="2023-01-11T00:00:00Z"/>
        <d v="2023-01-16T00:00:00Z"/>
        <d v="2023-01-18T00:00:00Z"/>
        <d v="2023-01-25T00:00:00Z"/>
        <d v="2023-02-01T00:00:00Z"/>
        <d v="2023-02-08T00:00:00Z"/>
        <d v="2023-02-15T00:00:00Z"/>
        <d v="2023-02-22T00:00:00Z"/>
        <d v="2023-03-01T00:00:00Z"/>
        <d v="2023-03-08T00:00:00Z"/>
        <d v="2023-03-22T00:00:00Z"/>
        <d v="2023-03-29T00:00:00Z"/>
        <d v="2023-04-05T00:00:00Z"/>
        <d v="2023-04-12T00:00:00Z"/>
        <d v="2023-04-19T00:00:00Z"/>
        <d v="2023-04-26T00:00:00Z"/>
        <d v="2023-05-03T00:00:00Z"/>
        <d v="2023-05-10T00:00:00Z"/>
        <d v="2023-05-17T00:00:00Z"/>
        <d v="2023-05-24T00:00:00Z"/>
        <d v="2023-05-31T00:00:00Z"/>
        <d v="2023-06-07T00:00:00Z"/>
        <d v="2023-06-14T00:00:00Z"/>
        <d v="2023-06-21T00:00:00Z"/>
        <d v="2023-06-28T00:00:00Z"/>
        <d v="2023-07-11T00:00:00Z"/>
        <d v="2023-07-19T00:00:00Z"/>
        <d v="2023-07-26T00:00:00Z"/>
        <d v="2023-08-02T00:00:00Z"/>
        <d v="2023-08-09T00:00:00Z"/>
        <d v="2023-08-16T00:00:00Z"/>
        <d v="2023-08-24T00:00:00Z"/>
        <d v="2023-08-30T00:00:00Z"/>
        <d v="2023-09-06T00:00:00Z"/>
        <d v="2023-09-13T00:00:00Z"/>
        <d v="2023-09-20T00:00:00Z"/>
        <d v="2023-09-27T00:00:00Z"/>
        <d v="2023-10-05T00:00:00Z"/>
        <d v="2023-10-11T00:00:00Z"/>
        <d v="2023-10-18T00:00:00Z"/>
        <d v="2023-10-25T00:00:00Z"/>
        <d v="2023-11-01T00:00:00Z"/>
        <d v="2023-11-08T00:00:00Z"/>
        <d v="2023-11-15T00:00:00Z"/>
        <d v="2023-11-29T00:00:00Z"/>
        <d v="2023-12-06T00:00:00Z"/>
        <d v="2023-12-13T00:00:00Z"/>
        <d v="2023-12-20T00:00:00Z"/>
        <d v="2024-01-03T00:00:00Z"/>
        <d v="2024-01-10T00:00:00Z"/>
        <d v="2024-01-17T00:00:00Z"/>
        <d v="2024-01-24T00:00:00Z"/>
        <d v="2024-01-31T00:00:00Z"/>
        <d v="2024-02-07T00:00:00Z"/>
        <d v="2024-02-14T00:00:00Z"/>
        <d v="2024-02-21T00:00:00Z"/>
        <d v="2024-02-28T00:00:00Z"/>
        <d v="2024-03-06T00:00:00Z"/>
        <d v="2024-03-13T00:00:00Z"/>
        <d v="2024-03-20T00:00:00Z"/>
        <d v="2024-04-03T00:00:00Z"/>
        <d v="2024-04-10T00:00:00Z"/>
        <d v="2024-04-17T00:00:00Z"/>
        <d v="2024-04-23T00:00:00Z"/>
        <d v="2024-05-01T00:00:00Z"/>
        <d v="2024-05-08T00:00:00Z"/>
        <d v="2024-05-15T00:00:00Z"/>
        <d v="2024-05-22T00:00:00Z"/>
        <d v="2024-05-28T00:00:00Z"/>
        <d v="2024-06-05T00:00:00Z"/>
        <d v="2024-06-12T00:00:00Z"/>
        <d v="2024-06-19T00:00:00Z"/>
        <d v="2024-06-26T00:00:00Z"/>
        <d v="2024-07-10T00:00:00Z"/>
        <d v="2024-07-17T00:00:00Z"/>
        <d v="2024-07-24T00:00:00Z"/>
        <d v="2024-07-31T00:00:00Z"/>
        <d v="2024-08-07T00:00:00Z"/>
        <d v="2024-08-14T00:00:00Z"/>
        <d v="2024-08-21T00:00:00Z"/>
        <d v="2024-08-28T00:00:00Z"/>
        <d v="2024-09-04T00:00:00Z"/>
        <d v="2024-09-11T00:00:00Z"/>
        <d v="2024-09-18T00:00:00Z"/>
        <d v="2024-09-25T00:00:00Z"/>
        <d v="2024-10-02T00:00:00Z"/>
        <d v="2024-10-09T00:00:00Z"/>
        <d v="2024-10-16T00:00:00Z"/>
        <d v="2024-10-23T00:00:00Z"/>
        <d v="2024-10-30T00:00:00Z"/>
        <d v="2024-11-06T00:00:00Z"/>
        <d v="2024-11-13T00:00:00Z"/>
        <d v="2024-11-20T00:00:00Z"/>
        <d v="2024-11-28T00:00:00Z"/>
        <d v="2024-12-04T00:00:00Z"/>
        <d v="2024-12-11T00:00:00Z"/>
        <d v="2024-12-18T00:00:00Z"/>
        <d v="2024-12-26T00:00:00Z"/>
        <d v="2025-01-01T00:00:00Z"/>
        <d v="2025-01-08T00:00:00Z"/>
        <d v="2025-01-15T00:00:00Z"/>
        <d v="2025-01-20T00:00:00Z"/>
        <d v="2025-01-22T00:00:00Z"/>
        <d v="2025-01-29T00:00:00Z"/>
        <d v="2025-02-05T00:00:00Z"/>
        <d v="2025-02-12T00:00:00Z"/>
        <d v="2025-02-19T00:00:00Z"/>
        <d v="2025-02-26T00:00:00Z"/>
        <d v="2025-03-05T00:00:00Z"/>
        <d v="2025-03-12T00:00:00Z"/>
        <d v="2025-03-19T00:00:00Z"/>
        <d v="2025-03-27T00:00:00Z"/>
        <d v="2025-04-02T00:00:00Z"/>
        <d v="2025-04-09T00:00:00Z"/>
        <d v="2025-04-16T00:00:00Z"/>
        <d v="2025-04-23T00:00:00Z"/>
        <d v="2025-04-30T00:00:00Z"/>
        <d v="2025-05-07T00:00:00Z"/>
        <d v="2025-05-14T00:00:00Z"/>
        <d v="2025-05-21T00:00:00Z"/>
        <d v="2025-05-29T00:00:00Z"/>
        <d v="2025-06-04T00:00:00Z"/>
        <d v="2025-06-11T00:00:00Z"/>
        <d v="2025-06-19T00:00:00Z"/>
        <d v="2025-06-26T00:00:00Z"/>
        <d v="2025-07-09T00:00:00Z"/>
        <d v="2025-07-16T00:00:00Z"/>
        <d v="2025-07-23T00:00:00Z"/>
        <d v="2025-07-30T00:00:00Z"/>
        <d v="2025-08-06T00:00:00Z"/>
        <m/>
        <d v="2026-01-01T00:00:00Z"/>
      </sharedItems>
    </cacheField>
    <cacheField name="Location" numFmtId="0">
      <sharedItems containsBlank="1">
        <s v="GROUPS Numbers displayed only when not included in a host's count."/>
        <s v="ALPHARETTA ( Karen, Nancy, Carrey, Kelly, Jason)"/>
        <s v="DUNWOODY/PTC (Marcy, Lisa, Darren, Renee, Suzanna, Sonika, Tracie)"/>
        <s v="E COBB/ROSWELL (Natalie, Silke, Vicki, Rachel, Judy, Jenny)"/>
        <s v="P'TREE CORNERS (Elaine, Renee V, Susannah, Tracie)"/>
        <s v="PREVIOUS OAK GROVE"/>
        <s v="SANDY SPRINGS (Allison, Jen, Terri, Sarah, Kate)"/>
        <s v="DECATUR (Sonika)"/>
        <s v="PREVIOUS BUCKHEAD"/>
        <s v="SNELLVILLE"/>
        <s v="INTOWN/DRUID HILLS (Laura, Jordan, Angie, Della, Julie, Ashley)"/>
        <s v="Previous Woodstock"/>
        <s v="Previous Lenox/Brookhaven"/>
        <s v="Previous New Chastain"/>
        <s v="Previous Glenwood Park"/>
        <s v="FLOWERY BRANCH (Kristina)"/>
        <s v="GROUPS"/>
        <s v="Collective Learning"/>
        <m/>
      </sharedItems>
    </cacheField>
    <cacheField name="Sandwiches">
      <sharedItems containsBlank="1" containsMixedTypes="1" containsNumber="1" containsInteger="1">
        <n v="317.0"/>
        <n v="530.0"/>
        <n v="290.0"/>
        <n v="430.0"/>
        <n v="581.0"/>
        <n v="432.0"/>
        <n v="780.0"/>
        <n v="939.0"/>
        <n v="995.0"/>
        <n v="1177.0"/>
        <n v="626.0"/>
        <n v="866.0"/>
        <n v="1231.0"/>
        <n v="1195.0"/>
        <n v="991.0"/>
        <n v="953.0"/>
        <n v="752.0"/>
        <n v="1114.0"/>
        <n v="965.0"/>
        <n v="813.0"/>
        <n v="1361.0"/>
        <n v="1269.0"/>
        <n v="1316.0"/>
        <n v="1684.0"/>
        <n v="1414.0"/>
        <n v="943.0"/>
        <n v="1364.0"/>
        <n v="1454.0"/>
        <n v="1474.0"/>
        <n v="2595.0"/>
        <n v="3159.0"/>
        <n v="2518.0"/>
        <n v="1511.0"/>
        <n v="1365.0"/>
        <n v="1762.0"/>
        <n v="1481.0"/>
        <n v="2311.0"/>
        <n v="1841.0"/>
        <n v="1912.0"/>
        <n v="2865.0"/>
        <n v="3109.0"/>
        <n v="4711.0"/>
        <n v="3840.0"/>
        <n v="5418.0"/>
        <n v="6030.0"/>
        <n v="5186.0"/>
        <n v="3989.0"/>
        <n v="4052.0"/>
        <n v="4865.0"/>
        <n v="4225.0"/>
        <n v="5442.0"/>
        <n v="7241.0"/>
        <n v="10085.0"/>
        <n v="9454.0"/>
        <n v="6715.0"/>
        <n v="8579.0"/>
        <n v="5475.0"/>
        <n v="4063.0"/>
        <n v="4198.0"/>
        <n v="5372.0"/>
        <n v="6175.0"/>
        <n v="5764.0"/>
        <n v="6847.0"/>
        <n v="5245.0"/>
        <n v="4780.0"/>
        <n v="4568.0"/>
        <n v="600.0"/>
        <n v="1989.0"/>
        <n v="1071.0"/>
        <n v="160.0"/>
        <n v="451.0"/>
        <n v="419.0"/>
        <n v="790.0"/>
        <n v="30.0"/>
        <n v="2008.0"/>
        <n v="988.0"/>
        <n v="99.0"/>
        <n v="48.0"/>
        <n v="425.0"/>
        <n v="594.0"/>
        <n v="1865.0"/>
        <n v="1855.0"/>
        <n v="114.0"/>
        <n v="273.0"/>
        <n v="60.0"/>
        <n v="127.0"/>
        <n v="651.0"/>
        <n v="2225.0"/>
        <n v="126.0"/>
        <n v="120.0"/>
        <n v="660.0"/>
        <n v="509.0"/>
        <n v="9.0"/>
        <n v="1522.0"/>
        <n v="1328.0"/>
        <n v="266.0"/>
        <n v="72.0"/>
        <n v="210.0"/>
        <n v="1005.0"/>
        <n v="1874.0"/>
        <n v="1218.0"/>
        <n v="188.0"/>
        <n v="40.0"/>
        <n v="598.0"/>
        <n v="1043.0"/>
        <n v="2806.0"/>
        <n v="1229.0"/>
        <n v="130.0"/>
        <n v="308.0"/>
        <n v="285.0"/>
        <n v="1247.0"/>
        <n v="2555.0"/>
        <n v="2144.0"/>
        <n v="184.0"/>
        <n v="112.0"/>
        <n v="500.0"/>
        <n v="851.0"/>
        <n v="3728.0"/>
        <n v="245.0"/>
        <n v="122.0"/>
        <n v="373.0"/>
        <n v="777.0"/>
        <n v="166.0"/>
        <n v="3517.0"/>
        <n v="1180.0"/>
        <n v="229.0"/>
        <n v="82.0"/>
        <n v="390.0"/>
        <n v="10.0"/>
        <n v="2720.0"/>
        <n v="2204.0"/>
        <n v="470.0"/>
        <n v="350.0"/>
        <n v="540.0"/>
        <n v="2432.0"/>
        <n v="1585.0"/>
        <n v="73.0"/>
        <n v="386.0"/>
        <n v="2553.0"/>
        <n v="1688.0"/>
        <n v="307.0"/>
        <n v="850.0"/>
        <n v="868.0"/>
        <n v="80.0"/>
        <n v="1890.0"/>
        <n v="2214.0"/>
        <n v="558.0"/>
        <n v="103.0"/>
        <n v="575.0"/>
        <n v="3000.0"/>
        <n v="818.0"/>
        <n v="106.0"/>
        <n v="438.0"/>
        <n v="3293.0"/>
        <n v="1292.0"/>
        <n v="371.0"/>
        <n v="1013.0"/>
        <n v="706.0"/>
        <n v="12.0"/>
        <n v="3097.0"/>
        <n v="2400.0"/>
        <n v="428.0"/>
        <n v="253.0"/>
        <n v="161.0"/>
        <n v="900.0"/>
        <n v="5033.0"/>
        <n v="879.0"/>
        <n v="225.0"/>
        <n v="513.0"/>
        <n v="649.0"/>
        <n v="566.0"/>
        <n v="2412.0"/>
        <n v="4109.0"/>
        <n v="351.0"/>
        <n v="263.0"/>
        <n v="162.0"/>
        <n v="842.0"/>
        <n v="28.0"/>
        <n v="3975.0"/>
        <n v="2210.0"/>
        <n v="282.0"/>
        <n v="755.0"/>
        <n v="974.0"/>
        <n v="39.0"/>
        <n v="2478.0"/>
        <n v="2011.0"/>
        <n v="185.0"/>
        <n v="252.0"/>
        <n v="239.0"/>
        <n v="2236.0"/>
        <n v="84.0"/>
        <n v="2341.0"/>
        <n v="1861.0"/>
        <n v="344.0"/>
        <n v="335.0"/>
        <n v="100.0"/>
        <n v="401.0"/>
        <n v="1801.0"/>
        <n v="165.0"/>
        <n v="4550.0"/>
        <n v="224.0"/>
        <n v="462.0"/>
        <n v="276.0"/>
        <n v="486.0"/>
        <n v="1190.0"/>
        <n v="3564.0"/>
        <n v="1803.0"/>
        <n v="304.0"/>
        <n v="551.0"/>
        <n v="422.0"/>
        <n v="200.0"/>
        <n v="442.0"/>
        <n v="1569.0"/>
        <n v="68.0"/>
        <n v="3121.0"/>
        <n v="1809.0"/>
        <n v="368.0"/>
        <n v="249.0"/>
        <n v="1326.0"/>
        <n v="391.0"/>
        <n v="364.0"/>
        <n v="1054.0"/>
        <n v="2844.0"/>
        <n v="1877.0"/>
        <n v="102.0"/>
        <n v="773.0"/>
        <n v="287.0"/>
        <n v="443.0"/>
        <n v="2291.0"/>
        <n v="1927.0"/>
        <n v="1330.0"/>
        <n v="235.0"/>
        <n v="230.0"/>
        <n v="638.0"/>
        <n v="110.0"/>
        <n v="330.0"/>
        <n v="150.0"/>
        <n v="3471.0"/>
        <n v="1240.0"/>
        <n v="1837.0"/>
        <n v="90.0"/>
        <n v="516.0"/>
        <n v="61.0"/>
        <n v="1699.0"/>
        <n v="107.0"/>
        <n v="2068.0"/>
        <n v="1911.0"/>
        <n v="180.0"/>
        <n v="237.0"/>
        <n v="616.0"/>
        <n v="145.0"/>
        <n v="131.0"/>
        <n v="529.0"/>
        <n v="125.0"/>
        <n v="867.0"/>
        <n v="2267.0"/>
        <n v="2156.0"/>
        <n v="275.0"/>
        <n v="496.0"/>
        <n v="259.0"/>
        <n v="1134.0"/>
        <n v="21.0"/>
        <n v="2774.0"/>
        <n v="1892.0"/>
        <n v="1580.0"/>
        <n v="211.0"/>
        <n v="50.0"/>
        <n v="325.0"/>
        <n v="105.0"/>
        <n v="2165.0"/>
        <n v="3490.0"/>
        <n v="2760.0"/>
        <n v="247.0"/>
        <n v="829.0"/>
        <n v="817.0"/>
        <n v="352.0"/>
        <n v="128.0"/>
        <n v="1379.0"/>
        <n v="85.0"/>
        <n v="3034.0"/>
        <n v="2817.0"/>
        <n v="380.0"/>
        <n v="503.0"/>
        <n v="243.0"/>
        <n v="116.0"/>
        <n v="1030.0"/>
        <n v="195.0"/>
        <n v="2707.0"/>
        <n v="1570.0"/>
        <n v="190.0"/>
        <n v="62.0"/>
        <n v="388.0"/>
        <n v="515.0"/>
        <n v="480.0"/>
        <n v="140.0"/>
        <n v="1574.0"/>
        <n v="154.0"/>
        <n v="3729.0"/>
        <n v="1999.0"/>
        <n v="86.0"/>
        <n v="699.0"/>
        <n v="541.0"/>
        <n v="569.0"/>
        <n v="115.0"/>
        <n v="1457.0"/>
        <n v="2415.0"/>
        <n v="1747.0"/>
        <n v="800.0"/>
        <n v="187.0"/>
        <n v="403.0"/>
        <n v="155.0"/>
        <n v="136.0"/>
        <n v="77.0"/>
        <n v="2532.0"/>
        <n v="1842.0"/>
        <n v="450.0"/>
        <n v="118.0"/>
        <n v="208.0"/>
        <n v="256.0"/>
        <n v="121.0"/>
        <n v="634.0"/>
        <n v="1695.0"/>
        <n v="76.0"/>
        <n v="433.0"/>
        <n v="434.0"/>
        <n v="1471.0"/>
        <n v="2404.0"/>
        <n v="2163.0"/>
        <n v="270.0"/>
        <n v="453.0"/>
        <n v="70.0"/>
        <n v="19.0"/>
        <n v="20.0"/>
        <n v="170.0"/>
        <n v="1232.0"/>
        <n v="2032.0"/>
        <n v="2841.0"/>
        <n v="93.0"/>
        <n v="557.0"/>
        <n v="1170.0"/>
        <n v="1147.0"/>
        <n v="3174.0"/>
        <n v="2897.0"/>
        <n v="1750.0"/>
        <n v="703.0"/>
        <n v="278.0"/>
        <n v="44.0"/>
        <n v="104.0"/>
        <n v="2340.0"/>
        <n v="54.0"/>
        <n v="3182.0"/>
        <n v="151.0"/>
        <n v="591.0"/>
        <n v="197.0"/>
        <n v="1144.0"/>
        <n v="1067.0"/>
        <n v="2167.0"/>
        <n v="341.0"/>
        <n v="2688.0"/>
        <n v="66.0"/>
        <n v="1645.0"/>
        <n v="2168.0"/>
        <n v="370.0"/>
        <n v="176.0"/>
        <n v="67.0"/>
        <n v="528.0"/>
        <n v="2046.0"/>
        <n v="2533.0"/>
        <n v="1740.0"/>
        <n v="268.0"/>
        <n v="272.0"/>
        <n v="423.0"/>
        <n v="172.0"/>
        <n v="1068.0"/>
        <n v="1970.0"/>
        <n v="2538.0"/>
        <n v="525.0"/>
        <n v="232.0"/>
        <n v="305.0"/>
        <n v="142.0"/>
        <n v="760.0"/>
        <n v="366.0"/>
        <n v="1319.0"/>
        <n v="1845.0"/>
        <n v="42.0"/>
        <n v="18.0"/>
        <n v="1697.0"/>
        <n v="1616.0"/>
        <n v="1637.0"/>
        <n v="375.0"/>
        <n v="175.0"/>
        <n v="475.0"/>
        <n v="300.0"/>
        <n v="74.0"/>
        <n v="135.0"/>
        <n v="1339.0"/>
        <n v="79.0"/>
        <n v="1818.0"/>
        <n v="1132.0"/>
        <n v="1391.0"/>
        <n v="199.0"/>
        <n v="222.0"/>
        <n v="265.0"/>
        <n v="5986.0"/>
        <n v="1310.0"/>
        <n v="147.0"/>
        <n v="1819.0"/>
        <n v="1321.0"/>
        <n v="32.0"/>
        <n v="220.0"/>
        <n v="2611.0"/>
        <n v="1458.0"/>
        <n v="1118.0"/>
        <n v="1700.0"/>
        <n v="226.0"/>
        <n v="248.0"/>
        <n v="146.0"/>
        <n v="1981.0"/>
        <n v="1235.0"/>
        <n v="2138.0"/>
        <n v="75.0"/>
        <n v="123.0"/>
        <n v="2590.0"/>
        <n v="831.0"/>
        <n v="1559.0"/>
        <n v="1500.0"/>
        <n v="217.0"/>
        <n v="178.0"/>
        <n v="192.0"/>
        <n v="1009.0"/>
        <n v="334.0"/>
        <n v="1373.0"/>
        <n v="1320.0"/>
        <n v="389.0"/>
        <n v="374.0"/>
        <n v="1058.0"/>
        <n v="394.0"/>
        <n v="1417.0"/>
        <n v="1215.0"/>
        <n v="2079.0"/>
        <n v="534.0"/>
        <n v="96.0"/>
        <n v="201.0"/>
        <n v="1161.0"/>
        <n v="1579.0"/>
        <n v="1078.0"/>
        <n v="653.0"/>
        <n v="360.0"/>
        <n v="322.0"/>
        <n v="158.0"/>
        <n v="1097.0"/>
        <n v="194.0"/>
        <n v="1317.0"/>
        <n v="1250.0"/>
        <n v="191.0"/>
        <n v="2363.0"/>
        <n v="460.0"/>
        <n v="468.0"/>
        <n v="615.0"/>
        <n v="963.0"/>
        <n v="353.0"/>
        <n v="852.0"/>
        <n v="293.0"/>
        <n v="1167.0"/>
        <n v="257.0"/>
        <n v="1106.0"/>
        <n v="783.0"/>
        <n v="267.0"/>
        <n v="2150.0"/>
        <n v="1149.0"/>
        <n v="387.0"/>
        <n v="2437.0"/>
        <n v="567.0"/>
        <n v="688.0"/>
        <n v="1939.0"/>
        <n v="2705.0"/>
        <n v="2101.0"/>
        <n v="324.0"/>
        <n v="5030.0"/>
        <n v="816.0"/>
        <n v="347.0"/>
        <n v="644.0"/>
        <n v="625.0"/>
        <n v="1621.0"/>
        <n v="2098.0"/>
        <n v="393.0"/>
        <n v="10728.0"/>
        <n v="950.0"/>
        <n v="3594.0"/>
        <n v="1543.0"/>
        <n v="1156.0"/>
        <n v="1497.0"/>
        <n v="431.0"/>
        <n v="4652.0"/>
        <n v="363.0"/>
        <n v="948.0"/>
        <n v="1238.0"/>
        <n v="1826.0"/>
        <n v="2722.0"/>
        <n v="487.0"/>
        <n v="410.0"/>
        <n v="517.0"/>
        <n v="233.0"/>
        <n v="2186.0"/>
        <n v="1690.0"/>
        <n v="301.0"/>
        <n v="560.0"/>
        <n v="493.0"/>
        <n v="1204.0"/>
        <n v="1856.0"/>
        <n v="4000.0"/>
        <n v="321.0"/>
        <n v="799.0"/>
        <n v="888.0"/>
        <n v="1411.0"/>
        <n v="412.0"/>
        <n v="206.0"/>
        <n v="250.0"/>
        <n v="622.0"/>
        <n v="1422.0"/>
        <n v="650.0"/>
        <n v="291.0"/>
        <n v="152.0"/>
        <n v="444.0"/>
        <n v="514.0"/>
        <n v="21988.0"/>
        <n v="908.0"/>
        <n v="465.0"/>
        <n v="1243.0"/>
        <n v="1614.0"/>
        <n v="490.0"/>
        <n v="627.0"/>
        <n v="603.0"/>
        <n v="148.0"/>
        <n v="1025.0"/>
        <n v="345.0"/>
        <n v="2023.0"/>
        <n v="1465.0"/>
        <n v="605.0"/>
        <n v="710.0"/>
        <n v="1461.0"/>
        <n v="2096.0"/>
        <n v="219.0"/>
        <n v="2998.0"/>
        <n v="762.0"/>
        <n v="183.0"/>
        <n v="1889.0"/>
        <n v="1488.0"/>
        <n v="872.0"/>
        <n v="1176.0"/>
        <n v="531.0"/>
        <n v="2637.0"/>
        <n v="269.0"/>
        <n v="2342.0"/>
        <n v="4485.0"/>
        <n v="855.0"/>
        <n v="479.0"/>
        <n v="2195.0"/>
        <n v="2462.0"/>
        <n v="1513.0"/>
        <n v="1230.0"/>
        <n v="792.0"/>
        <n v="618.0"/>
        <n v="1251.0"/>
        <n v="498.0"/>
        <n v="2243.0"/>
        <n v="885.0"/>
        <n v="436.0"/>
        <n v="958.0"/>
        <n v="159.0"/>
        <n v="1334.0"/>
        <n v="2572.0"/>
        <n v="1075.0"/>
        <n v="536.0"/>
        <n v="6593.0"/>
        <n v="326.0"/>
        <n v="313.0"/>
        <n v="3005.0"/>
        <n v="2775.0"/>
        <n v="882.0"/>
        <n v="279.0"/>
        <n v="747.0"/>
        <n v="189.0"/>
        <n v="702.0"/>
        <n v="4041.0"/>
        <n v="471.0"/>
        <n v="9998.0"/>
        <n v="930.0"/>
        <n v="3763.0"/>
        <n v="1057.0"/>
        <n v="655.0"/>
        <n v="1034.0"/>
        <n v="240.0"/>
        <n v="2344.0"/>
        <n v="1956.0"/>
        <n v="2946.0"/>
        <n v="1968.0"/>
        <n v="5019.0"/>
        <n v="377.0"/>
        <n v="938.0"/>
        <n v="1077.0"/>
        <n v="4789.0"/>
        <n v="1906.0"/>
        <n v="1263.0"/>
        <n v="1091.0"/>
        <n v="2875.0"/>
        <n v="1646.0"/>
        <n v="447.0"/>
        <n v="720.0"/>
        <n v="1266.0"/>
        <n v="156.0"/>
        <n v="3853.0"/>
        <n v="1341.0"/>
        <n v="221.0"/>
        <n v="808.0"/>
        <n v="218.0"/>
        <n v="1165.0"/>
        <n v="94.0"/>
        <n v="1472.0"/>
        <n v="1246.0"/>
        <n v="538.0"/>
        <n v="2481.0"/>
        <n v="2035.0"/>
        <n v="1900.0"/>
        <n v="585.0"/>
        <n v="574.0"/>
        <n v="1360.0"/>
        <n v="1607.0"/>
        <n v="284.0"/>
        <n v="841.0"/>
        <n v="198.0"/>
        <n v="87.0"/>
        <n v="1095.0"/>
        <n v="2544.0"/>
        <n v="2439.0"/>
        <n v="255.0"/>
        <n v="1508.0"/>
        <n v="533.0"/>
        <n v="138.0"/>
        <n v="1399.0"/>
        <n v="3516.0"/>
        <n v="2231.0"/>
        <n v="1931.0"/>
        <n v="570.0"/>
        <n v="811.0"/>
        <n v="1724.0"/>
        <n v="2274.0"/>
        <n v="1882.0"/>
        <n v="1347.0"/>
        <n v="196.0"/>
        <n v="1672.0"/>
        <n v="1599.0"/>
        <n v="1880.0"/>
        <n v="3098.0"/>
        <n v="179.0"/>
        <n v="2143.0"/>
        <n v="2350.0"/>
        <n v="283.0"/>
        <n v="1664.0"/>
        <n v="656.0"/>
        <n v="481.0"/>
        <n v="242.0"/>
        <n v="1035.0"/>
        <n v="2606.0"/>
        <n v="1448.0"/>
        <n v="2113.0"/>
        <n v="629.0"/>
        <n v="532.0"/>
        <n v="2097.0"/>
        <n v="1904.0"/>
        <n v="1864.0"/>
        <n v="349.0"/>
        <n v="923.0"/>
        <n v="690.0"/>
        <n v="1528.0"/>
        <n v="2480.0"/>
        <n v="862.0"/>
        <n v="555.0"/>
        <n v="214.0"/>
        <n v="522.0"/>
        <n v="1962.0"/>
        <n v="1777.0"/>
        <n v="1105.0"/>
        <n v="362.0"/>
        <n v="457.0"/>
        <n v="2218.0"/>
        <n v="7479.0"/>
        <n v="298.0"/>
        <n v="1276.0"/>
        <n v="97.0"/>
        <n v="1650.0"/>
        <n v="970.0"/>
        <n v="346.0"/>
        <n v="579.0"/>
        <n v="1090.0"/>
        <n v="1182.0"/>
        <n v="1485.0"/>
        <n v="459.0"/>
        <n v="2262.0"/>
        <n v="92.0"/>
        <n v="1881.0"/>
        <n v="1060.0"/>
        <n v="400.0"/>
        <n v="2090.0"/>
        <n v="1605.0"/>
        <n v="2045.0"/>
        <n v="746.0"/>
        <n v="228.0"/>
        <n v="635.0"/>
        <n v="1178.0"/>
        <n v="437.0"/>
        <n v="495.0"/>
        <n v="109.0"/>
        <n v="1922.0"/>
        <n v="1520.0"/>
        <n v="869.0"/>
        <n v="827.0"/>
        <n v="113.0"/>
        <n v="1022.0"/>
        <n v="2880.0"/>
        <n v="409.0"/>
        <n v="1482.0"/>
        <n v="395.0"/>
        <n v="589.0"/>
        <n v="171.0"/>
        <n v="2187.0"/>
        <n v="1127.0"/>
        <n v="580.0"/>
        <n v="2107.0"/>
        <n v="1800.0"/>
        <n v="722.0"/>
        <n v="205.0"/>
        <n v="3635.0"/>
        <n v="751.0"/>
        <n v="1159.0"/>
        <n v="1349.0"/>
        <n v="1163.0"/>
        <n v="2985.0"/>
        <n v="1198.0"/>
        <n v="669.0"/>
        <n v="781.0"/>
        <n v="2451.0"/>
        <n v="937.0"/>
        <n v="1055.0"/>
        <n v="365.0"/>
        <n v="296.0"/>
        <n v="129.0"/>
        <n v="2028.0"/>
        <n v="1805.0"/>
        <n v="1552.0"/>
        <n v="1761.0"/>
        <n v="935.0"/>
        <n v="928.0"/>
        <n v="88.0"/>
        <n v="1722.0"/>
        <n v="91.0"/>
        <n v="1501.0"/>
        <n v="499.0"/>
        <n v="19414.0"/>
        <n v="11278.0"/>
        <n v="996.0"/>
        <n v="4232.0"/>
        <n v="1537.0"/>
        <n v="332.0"/>
        <n v="1203.0"/>
        <n v="718.0"/>
        <n v="961.0"/>
        <n v="111.0"/>
        <n v="1714.0"/>
        <n v="2233.0"/>
        <n v="292.0"/>
        <n v="4981.0"/>
        <n v="1387.0"/>
        <n v="944.0"/>
        <n v="1343.0"/>
        <n v="1381.0"/>
        <n v="1806.0"/>
        <n v="1844.0"/>
        <n v="630.0"/>
        <n v="2367.0"/>
        <n v="1792.0"/>
        <n v="1787.0"/>
        <n v="8696.0"/>
        <n v="1052.0"/>
        <n v="609.0"/>
        <n v="1480.0"/>
        <n v="1631.0"/>
        <n v="262.0"/>
        <n v="2000.0"/>
        <n v="2160.0"/>
        <n v="1162.0"/>
        <n v="485.0"/>
        <n v="771.0"/>
        <n v="905.0"/>
        <n v="320.0"/>
        <n v="1297.0"/>
        <n v="13284.0"/>
        <n v="1208.0"/>
        <n v="1788.0"/>
        <n v="1885.0"/>
        <n v="1278.0"/>
        <n v="1718.0"/>
        <n v="823.0"/>
        <n v="700.0"/>
        <n v="1859.0"/>
        <n v="1437.0"/>
        <n v="1296.0"/>
        <n v="3254.0"/>
        <n v="723.0"/>
        <n v="1526.0"/>
        <n v="1048.0"/>
        <n v="1960.0"/>
        <n v="3087.0"/>
        <n v="1594.0"/>
        <n v="821.0"/>
        <n v="3141.0"/>
        <n v="508.0"/>
        <n v="108.0"/>
        <n v="2628.0"/>
        <n v="1789.0"/>
        <n v="7050.0"/>
        <n v="1351.0"/>
        <n v="822.0"/>
        <n v="396.0"/>
        <n v="81.0"/>
        <n v="1708.0"/>
        <n v="946.0"/>
        <n v="1000.0"/>
        <n v="749.0"/>
        <n v="1324.0"/>
        <n v="1160.0"/>
        <n v="264.0"/>
        <n v="4544.0"/>
        <n v="745.0"/>
        <n v="367.0"/>
        <n v="1254.0"/>
        <n v="1878.0"/>
        <n v="1849.0"/>
        <n v="1734.0"/>
        <n v="277.0"/>
        <n v="788.0"/>
        <n v="795.0"/>
        <n v="473.0"/>
        <n v="4771.0"/>
        <n v="941.0"/>
        <n v="736.0"/>
        <n v="757.0"/>
        <n v="1629.0"/>
        <n v="482.0"/>
        <n v="954.0"/>
        <n v="1588.0"/>
        <n v="4287.0"/>
        <n v="2640.0"/>
        <n v="1038.0"/>
        <n v="2750.0"/>
        <n v="968.0"/>
        <n v="2052.0"/>
        <n v="2668.0"/>
        <n v="2244.0"/>
        <n v="2223.0"/>
        <n v="1122.0"/>
        <n v="3040.0"/>
        <n v="1344.0"/>
        <n v="527.0"/>
        <n v="2174.0"/>
        <n v="274.0"/>
        <n v="2382.0"/>
        <n v="1282.0"/>
        <n v="1405.0"/>
        <n v="1944.0"/>
        <n v="916.0"/>
        <n v="244.0"/>
        <n v="507.0"/>
        <n v="1168.0"/>
        <n v="1355.0"/>
        <n v="2477.0"/>
        <n v="1259.0"/>
        <n v="484.0"/>
        <n v="2333.0"/>
        <n v="673.0"/>
        <n v="848.0"/>
        <n v="582.0"/>
        <n v="402.0"/>
        <n v="584.0"/>
        <n v="806.0"/>
        <n v="511.0"/>
        <n v="828.0"/>
        <n v="1436.0"/>
        <n v="735.0"/>
        <n v="707.0"/>
        <n v="721.0"/>
        <n v="2135.0"/>
        <n v="2323.0"/>
        <n v="2084.0"/>
        <n v="1980.0"/>
        <n v="454.0"/>
        <n v="1432.0"/>
        <n v="586.0"/>
        <n v="1088.0"/>
        <n v="1272.0"/>
        <n v="1715.0"/>
        <n v="2972.0"/>
        <n v="766.0"/>
        <n v="789.0"/>
        <n v="1681.0"/>
        <n v="2170.0"/>
        <n v="426.0"/>
        <n v="3032.0"/>
        <n v="784.0"/>
        <n v="583.0"/>
        <n v="3333.0"/>
        <n v="101.0"/>
        <n v="1820.0"/>
        <n v="2476.0"/>
        <n v="1425.0"/>
        <n v="632.0"/>
        <n v="871.0"/>
        <n v="2700.0"/>
        <n v="932.0"/>
        <n v="889.0"/>
        <n v="2154.0"/>
        <n v="1460.0"/>
        <n v="1499.0"/>
        <n v="132.0"/>
        <n v="2013.0"/>
        <n v="890.0"/>
        <n v="1704.0"/>
        <n v="1012.0"/>
        <n v="1455.0"/>
        <n v="5000.0"/>
        <n v="1074.0"/>
        <n v="547.0"/>
        <n v="356.0"/>
        <n v="1018.0"/>
        <n v="1698.0"/>
        <n v="1327.0"/>
        <n v="2326.0"/>
        <n v="445.0"/>
        <n v="1766.0"/>
        <n v="1322.0"/>
        <n v="1290.0"/>
        <n v="846.0"/>
        <n v="545.0"/>
        <n v="1210.0"/>
        <n v="1184.0"/>
        <n v="1148.0"/>
        <n v="1400.0"/>
        <n v="875.0"/>
        <n v="1143.0"/>
        <n v="1133.0"/>
        <n v="223.0"/>
        <n v="3400.0"/>
        <n v="1059.0"/>
        <n v="1640.0"/>
        <n v="724.0"/>
        <n v="1323.0"/>
        <n v="494.0"/>
        <n v="3015.0"/>
        <n v="406.0"/>
        <n v="1946.0"/>
        <n v="1836.0"/>
        <n v="989.0"/>
        <n v="5650.0"/>
        <n v="791.0"/>
        <n v="510.0"/>
        <n v="14023.0"/>
        <n v="1493.0"/>
        <n v="1284.0"/>
        <n v="919.0"/>
        <n v="260.0"/>
        <n v="1032.0"/>
        <n v="119.0"/>
        <n v="1377.0"/>
        <n v="1332.0"/>
        <n v="3746.0"/>
        <n v="1774.0"/>
        <n v="4279.0"/>
        <n v="768.0"/>
        <n v="1427.0"/>
        <n v="1017.0"/>
        <n v="1380.0"/>
        <n v="452.0"/>
        <n v="1449.0"/>
        <n v="550.0"/>
        <n v="1226.0"/>
        <n v="1396.0"/>
        <n v="1389.0"/>
        <n v="1780.0"/>
        <n v="554.0"/>
        <n v="3625.0"/>
        <n v="64.0"/>
        <n v="2378.0"/>
        <n v="1643.0"/>
        <n v="6409.0"/>
        <n v="861.0"/>
        <n v="1087.0"/>
        <n v="2300.0"/>
        <n v="1439.0"/>
        <n v="1280.0"/>
        <n v="2176.0"/>
        <n v="2226.0"/>
        <n v="6570.0"/>
        <n v="667.0"/>
        <n v="1342.0"/>
        <n v="1706.0"/>
        <n v="5100.0"/>
        <n v="922.0"/>
        <n v="504.0"/>
        <n v="563.0"/>
        <n v="1571.0"/>
        <n v="2397.0"/>
        <n v="1115.0"/>
        <n v="1064.0"/>
        <n v="2384.0"/>
        <n v="1776.0"/>
        <n v="1730.0"/>
        <n v="727.0"/>
        <n v="664.0"/>
        <n v="19706.0"/>
        <n v="864.0"/>
        <n v="1778.0"/>
        <n v="1592.0"/>
        <n v="258.0"/>
        <n v="2782.0"/>
        <n v="873.0"/>
        <n v="936.0"/>
        <s v="TBD"/>
        <n v="7140.0"/>
        <n v="1992.0"/>
        <n v="1252.0"/>
        <n v="2173.0"/>
        <n v="1265.0"/>
        <n v="2600.0"/>
        <n v="854.0"/>
        <n v="549.0"/>
        <n v="1852.0"/>
        <n v="976.0"/>
        <n v="141.0"/>
        <n v="4474.0"/>
        <n v="719.0"/>
        <n v="2667.0"/>
        <n v="2650.0"/>
        <n v="1371.0"/>
        <n v="677.0"/>
        <n v="1010.0"/>
        <n v="1153.0"/>
        <n v="1092.0"/>
        <n v="769.0"/>
        <n v="983.0"/>
        <n v="4795.0"/>
        <n v="815.0"/>
        <n v="117.0"/>
        <n v="1301.0"/>
        <n v="840.0"/>
        <n v="1597.0"/>
        <n v="796.0"/>
        <n v="1270.0"/>
        <n v="2618.0"/>
        <n v="601.0"/>
        <n v="1100.0"/>
        <n v="1503.0"/>
        <n v="907.0"/>
        <n v="3278.0"/>
        <n v="884.0"/>
        <n v="2053.0"/>
        <n v="878.0"/>
        <n v="5518.0"/>
        <n v="1647.0"/>
        <n v="839.0"/>
        <n v="628.0"/>
        <n v="153.0"/>
        <n v="418.0"/>
        <n v="1556.0"/>
        <n v="2103.0"/>
        <n v="993.0"/>
        <n v="1450.0"/>
        <n v="1123.0"/>
        <n v="915.0"/>
        <n v="398.0"/>
        <n v="2050.0"/>
        <n v="744.0"/>
        <n v="2396.0"/>
        <n v="2607.0"/>
        <n v="853.0"/>
        <n v="599.0"/>
        <n v="2520.0"/>
        <n v="2316.0"/>
        <n v="726.0"/>
        <n v="921.0"/>
        <n v="631.0"/>
        <n v="1783.0"/>
        <n v="1403.0"/>
        <n v="4610.0"/>
        <n v="1066.0"/>
        <n v="901.0"/>
        <n v="832.0"/>
        <n v="2767.0"/>
        <n v="1188.0"/>
        <n v="2059.0"/>
        <n v="689.0"/>
        <n v="1221.0"/>
        <n v="134.0"/>
        <n v="2964.0"/>
        <n v="1186.0"/>
        <n v="4259.0"/>
        <n v="1047.0"/>
        <n v="203.0"/>
        <n v="2442.0"/>
        <n v="2950.0"/>
        <n v="1312.0"/>
        <n v="856.0"/>
        <n v="2466.0"/>
        <n v="2991.0"/>
        <n v="3260.0"/>
        <n v="1185.0"/>
        <n v="2237.0"/>
        <n v="3120.0"/>
        <n v="2024.0"/>
        <n v="893.0"/>
        <n v="1498.0"/>
        <n v="2002.0"/>
        <n v="2610.0"/>
        <n v="2564.0"/>
        <n v="1237.0"/>
        <n v="2110.0"/>
        <n v="1475.0"/>
        <n v="1102.0"/>
        <n v="668.0"/>
        <n v="55.0"/>
        <n v="312.0"/>
        <m/>
        <n v="12267.0"/>
        <n v="0.0"/>
      </sharedItems>
    </cacheField>
    <cacheField name="WeekOfYear" numFmtId="0">
      <sharedItems containsString="0" containsBlank="1" containsNumber="1" containsInteger="1">
        <n v="17.0"/>
        <n v="18.0"/>
        <n v="19.0"/>
        <n v="20.0"/>
        <n v="21.0"/>
        <n v="22.0"/>
        <n v="23.0"/>
        <n v="24.0"/>
        <n v="25.0"/>
        <n v="26.0"/>
        <n v="27.0"/>
        <n v="28.0"/>
        <n v="29.0"/>
        <n v="30.0"/>
        <n v="31.0"/>
        <n v="32.0"/>
        <n v="33.0"/>
        <n v="34.0"/>
        <n v="35.0"/>
        <n v="36.0"/>
        <n v="37.0"/>
        <n v="38.0"/>
        <n v="39.0"/>
        <n v="40.0"/>
        <n v="41.0"/>
        <n v="42.0"/>
        <n v="43.0"/>
        <n v="44.0"/>
        <n v="45.0"/>
        <n v="46.0"/>
        <n v="47.0"/>
        <n v="48.0"/>
        <n v="49.0"/>
        <n v="50.0"/>
        <n v="51.0"/>
        <n v="52.0"/>
        <n v="53.0"/>
        <n v="2.0"/>
        <n v="3.0"/>
        <n v="4.0"/>
        <n v="5.0"/>
        <n v="6.0"/>
        <n v="7.0"/>
        <n v="8.0"/>
        <n v="9.0"/>
        <n v="10.0"/>
        <n v="11.0"/>
        <n v="12.0"/>
        <n v="13.0"/>
        <n v="14.0"/>
        <n v="15.0"/>
        <n v="16.0"/>
        <n v="1.0"/>
        <m/>
      </sharedItems>
    </cacheField>
    <cacheField name="WeekOfProgram"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90.0"/>
        <n v="92.0"/>
        <n v="93.0"/>
        <n v="94.0"/>
        <n v="95.0"/>
        <n v="96.0"/>
        <n v="97.0"/>
        <n v="98.0"/>
        <n v="99.0"/>
        <n v="100.0"/>
        <n v="101.0"/>
        <n v="102.0"/>
        <n v="103.0"/>
        <n v="104.0"/>
        <n v="105.0"/>
        <n v="106.0"/>
        <n v="107.0"/>
        <n v="108.0"/>
        <n v="109.0"/>
        <n v="110.0"/>
        <n v="111.0"/>
        <n v="113.0"/>
        <n v="114.0"/>
        <n v="115.0"/>
        <n v="116.0"/>
        <n v="117.0"/>
        <n v="118.0"/>
        <n v="119.0"/>
        <n v="120.0"/>
        <n v="121.0"/>
        <n v="122.0"/>
        <n v="123.0"/>
        <n v="124.0"/>
        <n v="125.0"/>
        <n v="126.0"/>
        <n v="127.0"/>
        <n v="128.0"/>
        <n v="129.0"/>
        <n v="130.0"/>
        <n v="131.0"/>
        <n v="132.0"/>
        <n v="133.0"/>
        <n v="134.0"/>
        <n v="135.0"/>
        <n v="136.0"/>
        <n v="137.0"/>
        <n v="139.0"/>
        <n v="140.0"/>
        <n v="141.0"/>
        <n v="142.0"/>
        <n v="143.0"/>
        <n v="144.0"/>
        <n v="145.0"/>
        <n v="146.0"/>
        <n v="147.0"/>
        <n v="148.0"/>
        <n v="149.0"/>
        <n v="150.0"/>
        <n v="151.0"/>
        <n v="152.0"/>
        <n v="153.0"/>
        <n v="155.0"/>
        <n v="156.0"/>
        <n v="157.0"/>
        <n v="158.0"/>
        <n v="159.0"/>
        <n v="160.0"/>
        <n v="161.0"/>
        <n v="162.0"/>
        <n v="163.0"/>
        <n v="164.0"/>
        <n v="165.0"/>
        <n v="166.0"/>
        <n v="167.0"/>
        <n v="168.0"/>
        <n v="169.0"/>
        <n v="171.0"/>
        <n v="172.0"/>
        <n v="173.0"/>
        <n v="174.0"/>
        <n v="175.0"/>
        <n v="176.0"/>
        <n v="177.0"/>
        <n v="178.0"/>
        <n v="179.0"/>
        <n v="180.0"/>
        <n v="181.0"/>
        <n v="182.0"/>
        <n v="183.0"/>
        <n v="184.0"/>
        <n v="185.0"/>
        <n v="186.0"/>
        <n v="187.0"/>
        <n v="188.0"/>
        <n v="189.0"/>
        <n v="191.0"/>
        <n v="192.0"/>
        <n v="193.0"/>
        <n v="194.0"/>
        <n v="197.0"/>
        <n v="198.0"/>
        <n v="199.0"/>
        <n v="200.0"/>
        <n v="201.0"/>
        <n v="202.0"/>
        <n v="203.0"/>
        <n v="204.0"/>
        <n v="205.0"/>
        <n v="206.0"/>
        <n v="207.0"/>
        <n v="208.0"/>
        <n v="210.0"/>
        <n v="211.0"/>
        <n v="212.0"/>
        <n v="213.0"/>
        <n v="214.0"/>
        <n v="215.0"/>
        <n v="216.0"/>
        <n v="217.0"/>
        <n v="218.0"/>
        <n v="219.0"/>
        <n v="220.0"/>
        <n v="221.0"/>
        <n v="222.0"/>
        <n v="224.0"/>
        <n v="225.0"/>
        <n v="226.0"/>
        <n v="227.0"/>
        <n v="228.0"/>
        <n v="229.0"/>
        <n v="230.0"/>
        <n v="231.0"/>
        <n v="232.0"/>
        <n v="233.0"/>
        <n v="234.0"/>
        <n v="235.0"/>
        <n v="236.0"/>
        <n v="237.0"/>
        <n v="238.0"/>
        <n v="239.0"/>
        <n v="240.0"/>
        <n v="241.0"/>
        <n v="242.0"/>
        <n v="243.0"/>
        <n v="244.0"/>
        <n v="245.0"/>
        <n v="246.0"/>
        <n v="247.0"/>
        <n v="248.0"/>
        <n v="250.0"/>
        <n v="251.0"/>
        <n v="252.0"/>
        <n v="253.0"/>
        <n v="254.0"/>
        <n v="255.0"/>
        <n v="256.0"/>
        <n v="257.0"/>
        <n v="258.0"/>
        <n v="259.0"/>
        <n v="260.0"/>
        <n v="261.0"/>
        <n v="262.0"/>
        <n v="263.0"/>
        <n v="264.0"/>
        <n v="265.0"/>
        <n v="266.0"/>
        <n v="267.0"/>
        <n v="268.0"/>
        <n v="269.0"/>
        <n v="270.0"/>
        <n v="271.0"/>
        <n v="272.0"/>
        <n v="273.0"/>
        <n v="274.0"/>
        <n v="275.0"/>
        <n v="277.0"/>
        <n v="278.0"/>
        <n v="279.0"/>
        <n v="280.0"/>
        <n v="281.0"/>
        <m/>
        <n v="303.0"/>
      </sharedItems>
    </cacheField>
    <cacheField name="Year" numFmtId="0">
      <sharedItems containsString="0" containsBlank="1" containsNumber="1" containsInteger="1">
        <n v="2020.0"/>
        <n v="2021.0"/>
        <n v="2022.0"/>
        <n v="2023.0"/>
        <n v="2024.0"/>
        <n v="2025.0"/>
        <m/>
        <n v="2026.0"/>
      </sharedItems>
    </cacheField>
    <cacheField name="Column 1" numFmtId="0">
      <sharedItems containsBlank="1">
        <m/>
        <s v="NC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687" sheet="InputData"/>
  </cacheSource>
  <cacheFields>
    <cacheField name="Date" numFmtId="164">
      <sharedItems containsNonDate="0" containsDate="1" containsString="0" containsBlank="1" minDate="2020-04-22T00:00:00Z" maxDate="2026-01-02T00:00:00Z">
        <d v="2020-04-22T00:00:00Z"/>
        <d v="2020-04-29T00:00:00Z"/>
        <d v="2020-05-06T00:00:00Z"/>
        <d v="2020-05-13T00:00:00Z"/>
        <d v="2020-05-20T00:00:00Z"/>
        <d v="2020-05-27T00:00:00Z"/>
        <d v="2020-06-03T00:00:00Z"/>
        <d v="2020-06-10T00:00:00Z"/>
        <d v="2020-06-17T00:00:00Z"/>
        <d v="2020-06-24T00:00:00Z"/>
        <d v="2020-07-01T00:00:00Z"/>
        <d v="2020-07-08T00:00:00Z"/>
        <d v="2020-07-15T00:00:00Z"/>
        <d v="2020-07-22T00:00:00Z"/>
        <d v="2020-07-29T00:00:00Z"/>
        <d v="2020-08-05T00:00:00Z"/>
        <d v="2020-08-12T00:00:00Z"/>
        <d v="2020-08-19T00:00:00Z"/>
        <d v="2020-08-26T00:00:00Z"/>
        <d v="2020-09-02T00:00:00Z"/>
        <d v="2020-09-09T00:00:00Z"/>
        <d v="2020-09-16T00:00:00Z"/>
        <d v="2020-09-23T00:00:00Z"/>
        <d v="2020-09-30T00:00:00Z"/>
        <d v="2020-10-07T00:00:00Z"/>
        <d v="2020-10-14T00:00:00Z"/>
        <d v="2020-10-21T00:00:00Z"/>
        <d v="2020-10-28T00:00:00Z"/>
        <d v="2020-11-04T00:00:00Z"/>
        <d v="2020-11-11T00:00:00Z"/>
        <d v="2020-11-18T00:00:00Z"/>
        <d v="2020-11-25T00:00:00Z"/>
        <d v="2020-12-02T00:00:00Z"/>
        <d v="2020-12-09T00:00:00Z"/>
        <d v="2020-12-16T00:00:00Z"/>
        <d v="2020-12-23T00:00:00Z"/>
        <d v="2020-12-30T00:00:00Z"/>
        <d v="2021-01-06T00:00:00Z"/>
        <d v="2021-01-13T00:00:00Z"/>
        <d v="2021-01-20T00:00:00Z"/>
        <d v="2021-01-27T00:00:00Z"/>
        <d v="2021-02-03T00:00:00Z"/>
        <d v="2021-02-10T00:00:00Z"/>
        <d v="2021-02-17T00:00:00Z"/>
        <d v="2021-02-24T00:00:00Z"/>
        <d v="2021-03-03T00:00:00Z"/>
        <d v="2021-03-10T00:00:00Z"/>
        <d v="2021-03-17T00:00:00Z"/>
        <d v="2021-03-24T00:00:00Z"/>
        <d v="2021-03-31T00:00:00Z"/>
        <d v="2021-04-07T00:00:00Z"/>
        <d v="2021-04-14T00:00:00Z"/>
        <d v="2021-04-21T00:00:00Z"/>
        <d v="2021-04-28T00:00:00Z"/>
        <d v="2021-05-05T00:00:00Z"/>
        <d v="2021-05-12T00:00:00Z"/>
        <d v="2021-05-19T00:00:00Z"/>
        <d v="2021-05-26T00:00:00Z"/>
        <d v="2021-06-02T00:00:00Z"/>
        <d v="2021-06-09T00:00:00Z"/>
        <d v="2021-06-16T00:00:00Z"/>
        <d v="2021-06-23T00:00:00Z"/>
        <d v="2021-06-30T00:00:00Z"/>
        <d v="2021-07-07T00:00:00Z"/>
        <d v="2021-07-14T00:00:00Z"/>
        <d v="2021-07-21T00:00:00Z"/>
        <d v="2021-07-28T00:00:00Z"/>
        <d v="2021-08-04T00:00:00Z"/>
        <d v="2021-08-11T00:00:00Z"/>
        <d v="2021-08-18T00:00:00Z"/>
        <d v="2021-08-25T00:00:00Z"/>
        <d v="2021-09-01T00:00:00Z"/>
        <d v="2021-09-08T00:00:00Z"/>
        <d v="2021-09-15T00:00:00Z"/>
        <d v="2021-09-22T00:00:00Z"/>
        <d v="2021-09-29T00:00:00Z"/>
        <d v="2021-10-06T00:00:00Z"/>
        <d v="2021-10-13T00:00:00Z"/>
        <d v="2021-10-20T00:00:00Z"/>
        <d v="2021-10-27T00:00:00Z"/>
        <d v="2021-11-03T00:00:00Z"/>
        <d v="2021-11-10T00:00:00Z"/>
        <d v="2021-11-17T00:00:00Z"/>
        <d v="2021-11-22T00:00:00Z"/>
        <d v="2021-12-01T00:00:00Z"/>
        <d v="2021-12-08T00:00:00Z"/>
        <d v="2021-12-15T00:00:00Z"/>
        <d v="2021-12-29T00:00:00Z"/>
        <d v="2022-01-03T00:00:00Z"/>
        <d v="2022-01-05T00:00:00Z"/>
        <d v="2022-01-12T00:00:00Z"/>
        <d v="2022-01-17T00:00:00Z"/>
        <d v="2022-01-19T00:00:00Z"/>
        <d v="2022-01-26T00:00:00Z"/>
        <d v="2022-02-02T00:00:00Z"/>
        <d v="2022-02-09T00:00:00Z"/>
        <d v="2022-02-16T00:00:00Z"/>
        <d v="2022-02-17T00:00:00Z"/>
        <d v="2022-02-23T00:00:00Z"/>
        <d v="2022-03-02T00:00:00Z"/>
        <d v="2022-03-09T00:00:00Z"/>
        <d v="2022-03-16T00:00:00Z"/>
        <d v="2022-03-23T00:00:00Z"/>
        <d v="2022-03-30T00:00:00Z"/>
        <d v="2022-04-06T00:00:00Z"/>
        <d v="2022-04-13T00:00:00Z"/>
        <d v="2022-04-20T00:00:00Z"/>
        <d v="2022-04-27T00:00:00Z"/>
        <d v="2022-05-04T00:00:00Z"/>
        <d v="2022-05-11T00:00:00Z"/>
        <d v="2022-05-15T00:00:00Z"/>
        <d v="2022-05-18T00:00:00Z"/>
        <d v="2022-06-01T00:00:00Z"/>
        <d v="2022-06-08T00:00:00Z"/>
        <d v="2022-06-15T00:00:00Z"/>
        <d v="2022-06-22T00:00:00Z"/>
        <d v="2022-06-29T00:00:00Z"/>
        <d v="2022-07-06T00:00:00Z"/>
        <d v="2022-07-13T00:00:00Z"/>
        <d v="2022-07-20T00:00:00Z"/>
        <d v="2022-07-27T00:00:00Z"/>
        <d v="2022-08-03T00:00:00Z"/>
        <d v="2022-08-10T00:00:00Z"/>
        <d v="2022-08-17T00:00:00Z"/>
        <d v="2022-08-24T00:00:00Z"/>
        <d v="2022-08-31T00:00:00Z"/>
        <d v="2022-09-07T00:00:00Z"/>
        <d v="2022-09-14T00:00:00Z"/>
        <d v="2022-09-21T00:00:00Z"/>
        <d v="2022-09-28T00:00:00Z"/>
        <d v="2022-10-05T00:00:00Z"/>
        <d v="2022-10-12T00:00:00Z"/>
        <d v="2022-10-19T00:00:00Z"/>
        <d v="2022-10-26T00:00:00Z"/>
        <d v="2022-11-02T00:00:00Z"/>
        <d v="2022-11-09T00:00:00Z"/>
        <d v="2022-11-16T00:00:00Z"/>
        <d v="2022-11-30T00:00:00Z"/>
        <d v="2022-12-07T00:00:00Z"/>
        <d v="2022-12-14T00:00:00Z"/>
        <d v="2022-12-21T00:00:00Z"/>
        <d v="2022-12-28T00:00:00Z"/>
        <d v="2023-01-04T00:00:00Z"/>
        <d v="2023-01-11T00:00:00Z"/>
        <d v="2023-01-16T00:00:00Z"/>
        <d v="2023-01-18T00:00:00Z"/>
        <d v="2023-01-25T00:00:00Z"/>
        <d v="2023-02-01T00:00:00Z"/>
        <d v="2023-02-08T00:00:00Z"/>
        <d v="2023-02-15T00:00:00Z"/>
        <d v="2023-02-22T00:00:00Z"/>
        <d v="2023-03-01T00:00:00Z"/>
        <d v="2023-03-08T00:00:00Z"/>
        <d v="2023-03-22T00:00:00Z"/>
        <d v="2023-03-29T00:00:00Z"/>
        <d v="2023-04-05T00:00:00Z"/>
        <d v="2023-04-12T00:00:00Z"/>
        <d v="2023-04-19T00:00:00Z"/>
        <d v="2023-04-26T00:00:00Z"/>
        <d v="2023-05-03T00:00:00Z"/>
        <d v="2023-05-10T00:00:00Z"/>
        <d v="2023-05-17T00:00:00Z"/>
        <d v="2023-05-24T00:00:00Z"/>
        <d v="2023-05-31T00:00:00Z"/>
        <d v="2023-06-07T00:00:00Z"/>
        <d v="2023-06-14T00:00:00Z"/>
        <d v="2023-06-21T00:00:00Z"/>
        <d v="2023-06-28T00:00:00Z"/>
        <d v="2023-07-11T00:00:00Z"/>
        <d v="2023-07-19T00:00:00Z"/>
        <d v="2023-07-26T00:00:00Z"/>
        <d v="2023-08-02T00:00:00Z"/>
        <d v="2023-08-09T00:00:00Z"/>
        <d v="2023-08-16T00:00:00Z"/>
        <d v="2023-08-24T00:00:00Z"/>
        <d v="2023-08-30T00:00:00Z"/>
        <d v="2023-09-06T00:00:00Z"/>
        <d v="2023-09-13T00:00:00Z"/>
        <d v="2023-09-20T00:00:00Z"/>
        <d v="2023-09-27T00:00:00Z"/>
        <d v="2023-10-05T00:00:00Z"/>
        <d v="2023-10-11T00:00:00Z"/>
        <d v="2023-10-18T00:00:00Z"/>
        <d v="2023-10-25T00:00:00Z"/>
        <d v="2023-11-01T00:00:00Z"/>
        <d v="2023-11-08T00:00:00Z"/>
        <d v="2023-11-15T00:00:00Z"/>
        <d v="2023-11-29T00:00:00Z"/>
        <d v="2023-12-06T00:00:00Z"/>
        <d v="2023-12-13T00:00:00Z"/>
        <d v="2023-12-20T00:00:00Z"/>
        <d v="2024-01-03T00:00:00Z"/>
        <d v="2024-01-10T00:00:00Z"/>
        <d v="2024-01-17T00:00:00Z"/>
        <d v="2024-01-24T00:00:00Z"/>
        <d v="2024-01-31T00:00:00Z"/>
        <d v="2024-02-07T00:00:00Z"/>
        <d v="2024-02-14T00:00:00Z"/>
        <d v="2024-02-21T00:00:00Z"/>
        <d v="2024-02-28T00:00:00Z"/>
        <d v="2024-03-06T00:00:00Z"/>
        <d v="2024-03-13T00:00:00Z"/>
        <d v="2024-03-20T00:00:00Z"/>
        <d v="2024-04-03T00:00:00Z"/>
        <d v="2024-04-10T00:00:00Z"/>
        <d v="2024-04-17T00:00:00Z"/>
        <d v="2024-04-23T00:00:00Z"/>
        <d v="2024-05-01T00:00:00Z"/>
        <d v="2024-05-08T00:00:00Z"/>
        <d v="2024-05-15T00:00:00Z"/>
        <d v="2024-05-22T00:00:00Z"/>
        <d v="2024-05-28T00:00:00Z"/>
        <d v="2024-06-05T00:00:00Z"/>
        <d v="2024-06-12T00:00:00Z"/>
        <d v="2024-06-19T00:00:00Z"/>
        <d v="2024-06-26T00:00:00Z"/>
        <d v="2024-07-10T00:00:00Z"/>
        <d v="2024-07-17T00:00:00Z"/>
        <d v="2024-07-24T00:00:00Z"/>
        <d v="2024-07-31T00:00:00Z"/>
        <d v="2024-08-07T00:00:00Z"/>
        <d v="2024-08-14T00:00:00Z"/>
        <d v="2024-08-21T00:00:00Z"/>
        <d v="2024-08-28T00:00:00Z"/>
        <d v="2024-09-04T00:00:00Z"/>
        <d v="2024-09-11T00:00:00Z"/>
        <d v="2024-09-18T00:00:00Z"/>
        <d v="2024-09-25T00:00:00Z"/>
        <d v="2024-10-02T00:00:00Z"/>
        <d v="2024-10-09T00:00:00Z"/>
        <d v="2024-10-16T00:00:00Z"/>
        <d v="2024-10-23T00:00:00Z"/>
        <d v="2024-10-30T00:00:00Z"/>
        <d v="2024-11-06T00:00:00Z"/>
        <d v="2024-11-13T00:00:00Z"/>
        <d v="2024-11-20T00:00:00Z"/>
        <d v="2024-11-28T00:00:00Z"/>
        <d v="2024-12-04T00:00:00Z"/>
        <d v="2024-12-11T00:00:00Z"/>
        <d v="2024-12-18T00:00:00Z"/>
        <d v="2024-12-26T00:00:00Z"/>
        <d v="2025-01-01T00:00:00Z"/>
        <d v="2025-01-08T00:00:00Z"/>
        <d v="2025-01-15T00:00:00Z"/>
        <d v="2025-01-20T00:00:00Z"/>
        <d v="2025-01-22T00:00:00Z"/>
        <d v="2025-01-29T00:00:00Z"/>
        <d v="2025-02-05T00:00:00Z"/>
        <d v="2025-02-12T00:00:00Z"/>
        <d v="2025-02-19T00:00:00Z"/>
        <d v="2025-02-26T00:00:00Z"/>
        <d v="2025-03-05T00:00:00Z"/>
        <d v="2025-03-12T00:00:00Z"/>
        <d v="2025-03-19T00:00:00Z"/>
        <d v="2025-03-27T00:00:00Z"/>
        <d v="2025-04-02T00:00:00Z"/>
        <d v="2025-04-09T00:00:00Z"/>
        <d v="2025-04-16T00:00:00Z"/>
        <d v="2025-04-23T00:00:00Z"/>
        <d v="2025-04-30T00:00:00Z"/>
        <d v="2025-05-07T00:00:00Z"/>
        <d v="2025-05-14T00:00:00Z"/>
        <d v="2025-05-21T00:00:00Z"/>
        <d v="2025-05-29T00:00:00Z"/>
        <d v="2025-06-04T00:00:00Z"/>
        <d v="2025-06-11T00:00:00Z"/>
        <d v="2025-06-19T00:00:00Z"/>
        <d v="2025-06-26T00:00:00Z"/>
        <d v="2025-07-09T00:00:00Z"/>
        <d v="2025-07-16T00:00:00Z"/>
        <d v="2025-07-23T00:00:00Z"/>
        <d v="2025-07-30T00:00:00Z"/>
        <d v="2025-08-06T00:00:00Z"/>
        <m/>
        <d v="2026-01-01T00:00:00Z"/>
      </sharedItems>
      <fieldGroup base="0">
        <rangePr autoStart="0" autoEnd="0" groupBy="years" startDate="2020-04-22T00:00:00Z" endDate="2026-01-02T00:00:00Z"/>
        <groupItems>
          <s v="&lt;04/22/20"/>
          <s v="120"/>
          <s v="121"/>
          <s v="122"/>
          <s v="123"/>
          <s v="124"/>
          <s v="125"/>
          <s v="126"/>
          <s v="&gt;01/02/26"/>
        </groupItems>
      </fieldGroup>
    </cacheField>
    <cacheField name="Location" numFmtId="0">
      <sharedItems containsBlank="1">
        <s v="GROUPS Numbers displayed only when not included in a host's count."/>
        <s v="ALPHARETTA ( Karen, Nancy, Carrey, Kelly, Jason)"/>
        <s v="DUNWOODY/PTC (Marcy, Lisa, Darren, Renee, Suzanna, Sonika, Tracie)"/>
        <s v="E COBB/ROSWELL (Natalie, Silke, Vicki, Rachel, Judy, Jenny)"/>
        <s v="P'TREE CORNERS (Elaine, Renee V, Susannah, Tracie)"/>
        <s v="PREVIOUS OAK GROVE"/>
        <s v="SANDY SPRINGS (Allison, Jen, Terri, Sarah, Kate)"/>
        <s v="DECATUR (Sonika)"/>
        <s v="PREVIOUS BUCKHEAD"/>
        <s v="SNELLVILLE"/>
        <s v="INTOWN/DRUID HILLS (Laura, Jordan, Angie, Della, Julie, Ashley)"/>
        <s v="Previous Woodstock"/>
        <s v="Previous Lenox/Brookhaven"/>
        <s v="Previous New Chastain"/>
        <s v="Previous Glenwood Park"/>
        <s v="FLOWERY BRANCH (Kristina)"/>
        <s v="GROUPS"/>
        <s v="Collective Learning"/>
        <m/>
      </sharedItems>
    </cacheField>
    <cacheField name="Sandwiches">
      <sharedItems containsBlank="1" containsMixedTypes="1" containsNumber="1" containsInteger="1">
        <n v="317.0"/>
        <n v="530.0"/>
        <n v="290.0"/>
        <n v="430.0"/>
        <n v="581.0"/>
        <n v="432.0"/>
        <n v="780.0"/>
        <n v="939.0"/>
        <n v="995.0"/>
        <n v="1177.0"/>
        <n v="626.0"/>
        <n v="866.0"/>
        <n v="1231.0"/>
        <n v="1195.0"/>
        <n v="991.0"/>
        <n v="953.0"/>
        <n v="752.0"/>
        <n v="1114.0"/>
        <n v="965.0"/>
        <n v="813.0"/>
        <n v="1361.0"/>
        <n v="1269.0"/>
        <n v="1316.0"/>
        <n v="1684.0"/>
        <n v="1414.0"/>
        <n v="943.0"/>
        <n v="1364.0"/>
        <n v="1454.0"/>
        <n v="1474.0"/>
        <n v="2595.0"/>
        <n v="3159.0"/>
        <n v="2518.0"/>
        <n v="1511.0"/>
        <n v="1365.0"/>
        <n v="1762.0"/>
        <n v="1481.0"/>
        <n v="2311.0"/>
        <n v="1841.0"/>
        <n v="1912.0"/>
        <n v="2865.0"/>
        <n v="3109.0"/>
        <n v="4711.0"/>
        <n v="3840.0"/>
        <n v="5418.0"/>
        <n v="6030.0"/>
        <n v="5186.0"/>
        <n v="3989.0"/>
        <n v="4052.0"/>
        <n v="4865.0"/>
        <n v="4225.0"/>
        <n v="5442.0"/>
        <n v="7241.0"/>
        <n v="10085.0"/>
        <n v="9454.0"/>
        <n v="6715.0"/>
        <n v="8579.0"/>
        <n v="5475.0"/>
        <n v="4063.0"/>
        <n v="4198.0"/>
        <n v="5372.0"/>
        <n v="6175.0"/>
        <n v="5764.0"/>
        <n v="6847.0"/>
        <n v="5245.0"/>
        <n v="4780.0"/>
        <n v="4568.0"/>
        <n v="600.0"/>
        <n v="1989.0"/>
        <n v="1071.0"/>
        <n v="160.0"/>
        <n v="451.0"/>
        <n v="419.0"/>
        <n v="790.0"/>
        <n v="30.0"/>
        <n v="2008.0"/>
        <n v="988.0"/>
        <n v="99.0"/>
        <n v="48.0"/>
        <n v="425.0"/>
        <n v="594.0"/>
        <n v="1865.0"/>
        <n v="1855.0"/>
        <n v="114.0"/>
        <n v="273.0"/>
        <n v="60.0"/>
        <n v="127.0"/>
        <n v="651.0"/>
        <n v="2225.0"/>
        <n v="126.0"/>
        <n v="120.0"/>
        <n v="660.0"/>
        <n v="509.0"/>
        <n v="9.0"/>
        <n v="1522.0"/>
        <n v="1328.0"/>
        <n v="266.0"/>
        <n v="72.0"/>
        <n v="210.0"/>
        <n v="1005.0"/>
        <n v="1874.0"/>
        <n v="1218.0"/>
        <n v="188.0"/>
        <n v="40.0"/>
        <n v="598.0"/>
        <n v="1043.0"/>
        <n v="2806.0"/>
        <n v="1229.0"/>
        <n v="130.0"/>
        <n v="308.0"/>
        <n v="285.0"/>
        <n v="1247.0"/>
        <n v="2555.0"/>
        <n v="2144.0"/>
        <n v="184.0"/>
        <n v="112.0"/>
        <n v="500.0"/>
        <n v="851.0"/>
        <n v="3728.0"/>
        <n v="245.0"/>
        <n v="122.0"/>
        <n v="373.0"/>
        <n v="777.0"/>
        <n v="166.0"/>
        <n v="3517.0"/>
        <n v="1180.0"/>
        <n v="229.0"/>
        <n v="82.0"/>
        <n v="390.0"/>
        <n v="10.0"/>
        <n v="2720.0"/>
        <n v="2204.0"/>
        <n v="470.0"/>
        <n v="350.0"/>
        <n v="540.0"/>
        <n v="2432.0"/>
        <n v="1585.0"/>
        <n v="73.0"/>
        <n v="386.0"/>
        <n v="2553.0"/>
        <n v="1688.0"/>
        <n v="307.0"/>
        <n v="850.0"/>
        <n v="868.0"/>
        <n v="80.0"/>
        <n v="1890.0"/>
        <n v="2214.0"/>
        <n v="558.0"/>
        <n v="103.0"/>
        <n v="575.0"/>
        <n v="3000.0"/>
        <n v="818.0"/>
        <n v="106.0"/>
        <n v="438.0"/>
        <n v="3293.0"/>
        <n v="1292.0"/>
        <n v="371.0"/>
        <n v="1013.0"/>
        <n v="706.0"/>
        <n v="12.0"/>
        <n v="3097.0"/>
        <n v="2400.0"/>
        <n v="428.0"/>
        <n v="253.0"/>
        <n v="161.0"/>
        <n v="900.0"/>
        <n v="5033.0"/>
        <n v="879.0"/>
        <n v="225.0"/>
        <n v="513.0"/>
        <n v="649.0"/>
        <n v="566.0"/>
        <n v="2412.0"/>
        <n v="4109.0"/>
        <n v="351.0"/>
        <n v="263.0"/>
        <n v="162.0"/>
        <n v="842.0"/>
        <n v="28.0"/>
        <n v="3975.0"/>
        <n v="2210.0"/>
        <n v="282.0"/>
        <n v="755.0"/>
        <n v="974.0"/>
        <n v="39.0"/>
        <n v="2478.0"/>
        <n v="2011.0"/>
        <n v="185.0"/>
        <n v="252.0"/>
        <n v="239.0"/>
        <n v="2236.0"/>
        <n v="84.0"/>
        <n v="2341.0"/>
        <n v="1861.0"/>
        <n v="344.0"/>
        <n v="335.0"/>
        <n v="100.0"/>
        <n v="401.0"/>
        <n v="1801.0"/>
        <n v="165.0"/>
        <n v="4550.0"/>
        <n v="224.0"/>
        <n v="462.0"/>
        <n v="276.0"/>
        <n v="486.0"/>
        <n v="1190.0"/>
        <n v="3564.0"/>
        <n v="1803.0"/>
        <n v="304.0"/>
        <n v="551.0"/>
        <n v="422.0"/>
        <n v="200.0"/>
        <n v="442.0"/>
        <n v="1569.0"/>
        <n v="68.0"/>
        <n v="3121.0"/>
        <n v="1809.0"/>
        <n v="368.0"/>
        <n v="249.0"/>
        <n v="1326.0"/>
        <n v="391.0"/>
        <n v="364.0"/>
        <n v="1054.0"/>
        <n v="2844.0"/>
        <n v="1877.0"/>
        <n v="102.0"/>
        <n v="773.0"/>
        <n v="287.0"/>
        <n v="443.0"/>
        <n v="2291.0"/>
        <n v="1927.0"/>
        <n v="1330.0"/>
        <n v="235.0"/>
        <n v="230.0"/>
        <n v="638.0"/>
        <n v="110.0"/>
        <n v="330.0"/>
        <n v="150.0"/>
        <n v="3471.0"/>
        <n v="1240.0"/>
        <n v="1837.0"/>
        <n v="90.0"/>
        <n v="516.0"/>
        <n v="61.0"/>
        <n v="1699.0"/>
        <n v="107.0"/>
        <n v="2068.0"/>
        <n v="1911.0"/>
        <n v="180.0"/>
        <n v="237.0"/>
        <n v="616.0"/>
        <n v="145.0"/>
        <n v="131.0"/>
        <n v="529.0"/>
        <n v="125.0"/>
        <n v="867.0"/>
        <n v="2267.0"/>
        <n v="2156.0"/>
        <n v="275.0"/>
        <n v="496.0"/>
        <n v="259.0"/>
        <n v="1134.0"/>
        <n v="21.0"/>
        <n v="2774.0"/>
        <n v="1892.0"/>
        <n v="1580.0"/>
        <n v="211.0"/>
        <n v="50.0"/>
        <n v="325.0"/>
        <n v="105.0"/>
        <n v="2165.0"/>
        <n v="3490.0"/>
        <n v="2760.0"/>
        <n v="247.0"/>
        <n v="829.0"/>
        <n v="817.0"/>
        <n v="352.0"/>
        <n v="128.0"/>
        <n v="1379.0"/>
        <n v="85.0"/>
        <n v="3034.0"/>
        <n v="2817.0"/>
        <n v="380.0"/>
        <n v="503.0"/>
        <n v="243.0"/>
        <n v="116.0"/>
        <n v="1030.0"/>
        <n v="195.0"/>
        <n v="2707.0"/>
        <n v="1570.0"/>
        <n v="190.0"/>
        <n v="62.0"/>
        <n v="388.0"/>
        <n v="515.0"/>
        <n v="480.0"/>
        <n v="140.0"/>
        <n v="1574.0"/>
        <n v="154.0"/>
        <n v="3729.0"/>
        <n v="1999.0"/>
        <n v="86.0"/>
        <n v="699.0"/>
        <n v="541.0"/>
        <n v="569.0"/>
        <n v="115.0"/>
        <n v="1457.0"/>
        <n v="2415.0"/>
        <n v="1747.0"/>
        <n v="800.0"/>
        <n v="187.0"/>
        <n v="403.0"/>
        <n v="155.0"/>
        <n v="136.0"/>
        <n v="77.0"/>
        <n v="2532.0"/>
        <n v="1842.0"/>
        <n v="450.0"/>
        <n v="118.0"/>
        <n v="208.0"/>
        <n v="256.0"/>
        <n v="121.0"/>
        <n v="634.0"/>
        <n v="1695.0"/>
        <n v="76.0"/>
        <n v="433.0"/>
        <n v="434.0"/>
        <n v="1471.0"/>
        <n v="2404.0"/>
        <n v="2163.0"/>
        <n v="270.0"/>
        <n v="453.0"/>
        <n v="70.0"/>
        <n v="19.0"/>
        <n v="20.0"/>
        <n v="170.0"/>
        <n v="1232.0"/>
        <n v="2032.0"/>
        <n v="2841.0"/>
        <n v="93.0"/>
        <n v="557.0"/>
        <n v="1170.0"/>
        <n v="1147.0"/>
        <n v="3174.0"/>
        <n v="2897.0"/>
        <n v="1750.0"/>
        <n v="703.0"/>
        <n v="278.0"/>
        <n v="44.0"/>
        <n v="104.0"/>
        <n v="2340.0"/>
        <n v="54.0"/>
        <n v="3182.0"/>
        <n v="151.0"/>
        <n v="591.0"/>
        <n v="197.0"/>
        <n v="1144.0"/>
        <n v="1067.0"/>
        <n v="2167.0"/>
        <n v="341.0"/>
        <n v="2688.0"/>
        <n v="66.0"/>
        <n v="1645.0"/>
        <n v="2168.0"/>
        <n v="370.0"/>
        <n v="176.0"/>
        <n v="67.0"/>
        <n v="528.0"/>
        <n v="2046.0"/>
        <n v="2533.0"/>
        <n v="1740.0"/>
        <n v="268.0"/>
        <n v="272.0"/>
        <n v="423.0"/>
        <n v="172.0"/>
        <n v="1068.0"/>
        <n v="1970.0"/>
        <n v="2538.0"/>
        <n v="525.0"/>
        <n v="232.0"/>
        <n v="305.0"/>
        <n v="142.0"/>
        <n v="760.0"/>
        <n v="366.0"/>
        <n v="1319.0"/>
        <n v="1845.0"/>
        <n v="42.0"/>
        <n v="18.0"/>
        <n v="1697.0"/>
        <n v="1616.0"/>
        <n v="1637.0"/>
        <n v="375.0"/>
        <n v="175.0"/>
        <n v="475.0"/>
        <n v="300.0"/>
        <n v="74.0"/>
        <n v="135.0"/>
        <n v="1339.0"/>
        <n v="79.0"/>
        <n v="1818.0"/>
        <n v="1132.0"/>
        <n v="1391.0"/>
        <n v="199.0"/>
        <n v="222.0"/>
        <n v="265.0"/>
        <n v="5986.0"/>
        <n v="1310.0"/>
        <n v="147.0"/>
        <n v="1819.0"/>
        <n v="1321.0"/>
        <n v="32.0"/>
        <n v="220.0"/>
        <n v="2611.0"/>
        <n v="1458.0"/>
        <n v="1118.0"/>
        <n v="1700.0"/>
        <n v="226.0"/>
        <n v="248.0"/>
        <n v="146.0"/>
        <n v="1981.0"/>
        <n v="1235.0"/>
        <n v="2138.0"/>
        <n v="75.0"/>
        <n v="123.0"/>
        <n v="2590.0"/>
        <n v="831.0"/>
        <n v="1559.0"/>
        <n v="1500.0"/>
        <n v="217.0"/>
        <n v="178.0"/>
        <n v="192.0"/>
        <n v="1009.0"/>
        <n v="334.0"/>
        <n v="1373.0"/>
        <n v="1320.0"/>
        <n v="389.0"/>
        <n v="374.0"/>
        <n v="1058.0"/>
        <n v="394.0"/>
        <n v="1417.0"/>
        <n v="1215.0"/>
        <n v="2079.0"/>
        <n v="534.0"/>
        <n v="96.0"/>
        <n v="201.0"/>
        <n v="1161.0"/>
        <n v="1579.0"/>
        <n v="1078.0"/>
        <n v="653.0"/>
        <n v="360.0"/>
        <n v="322.0"/>
        <n v="158.0"/>
        <n v="1097.0"/>
        <n v="194.0"/>
        <n v="1317.0"/>
        <n v="1250.0"/>
        <n v="191.0"/>
        <n v="2363.0"/>
        <n v="460.0"/>
        <n v="468.0"/>
        <n v="615.0"/>
        <n v="963.0"/>
        <n v="353.0"/>
        <n v="852.0"/>
        <n v="293.0"/>
        <n v="1167.0"/>
        <n v="257.0"/>
        <n v="1106.0"/>
        <n v="783.0"/>
        <n v="267.0"/>
        <n v="2150.0"/>
        <n v="1149.0"/>
        <n v="387.0"/>
        <n v="2437.0"/>
        <n v="567.0"/>
        <n v="688.0"/>
        <n v="1939.0"/>
        <n v="2705.0"/>
        <n v="2101.0"/>
        <n v="324.0"/>
        <n v="5030.0"/>
        <n v="816.0"/>
        <n v="347.0"/>
        <n v="644.0"/>
        <n v="625.0"/>
        <n v="1621.0"/>
        <n v="2098.0"/>
        <n v="393.0"/>
        <n v="10728.0"/>
        <n v="950.0"/>
        <n v="3594.0"/>
        <n v="1543.0"/>
        <n v="1156.0"/>
        <n v="1497.0"/>
        <n v="431.0"/>
        <n v="4652.0"/>
        <n v="363.0"/>
        <n v="948.0"/>
        <n v="1238.0"/>
        <n v="1826.0"/>
        <n v="2722.0"/>
        <n v="487.0"/>
        <n v="410.0"/>
        <n v="517.0"/>
        <n v="233.0"/>
        <n v="2186.0"/>
        <n v="1690.0"/>
        <n v="301.0"/>
        <n v="560.0"/>
        <n v="493.0"/>
        <n v="1204.0"/>
        <n v="1856.0"/>
        <n v="4000.0"/>
        <n v="321.0"/>
        <n v="799.0"/>
        <n v="888.0"/>
        <n v="1411.0"/>
        <n v="412.0"/>
        <n v="206.0"/>
        <n v="250.0"/>
        <n v="622.0"/>
        <n v="1422.0"/>
        <n v="650.0"/>
        <n v="291.0"/>
        <n v="152.0"/>
        <n v="444.0"/>
        <n v="514.0"/>
        <n v="21988.0"/>
        <n v="908.0"/>
        <n v="465.0"/>
        <n v="1243.0"/>
        <n v="1614.0"/>
        <n v="490.0"/>
        <n v="627.0"/>
        <n v="603.0"/>
        <n v="148.0"/>
        <n v="1025.0"/>
        <n v="345.0"/>
        <n v="2023.0"/>
        <n v="1465.0"/>
        <n v="605.0"/>
        <n v="710.0"/>
        <n v="1461.0"/>
        <n v="2096.0"/>
        <n v="219.0"/>
        <n v="2998.0"/>
        <n v="762.0"/>
        <n v="183.0"/>
        <n v="1889.0"/>
        <n v="1488.0"/>
        <n v="872.0"/>
        <n v="1176.0"/>
        <n v="531.0"/>
        <n v="2637.0"/>
        <n v="269.0"/>
        <n v="2342.0"/>
        <n v="4485.0"/>
        <n v="855.0"/>
        <n v="479.0"/>
        <n v="2195.0"/>
        <n v="2462.0"/>
        <n v="1513.0"/>
        <n v="1230.0"/>
        <n v="792.0"/>
        <n v="618.0"/>
        <n v="1251.0"/>
        <n v="498.0"/>
        <n v="2243.0"/>
        <n v="885.0"/>
        <n v="436.0"/>
        <n v="958.0"/>
        <n v="159.0"/>
        <n v="1334.0"/>
        <n v="2572.0"/>
        <n v="1075.0"/>
        <n v="536.0"/>
        <n v="6593.0"/>
        <n v="326.0"/>
        <n v="313.0"/>
        <n v="3005.0"/>
        <n v="2775.0"/>
        <n v="882.0"/>
        <n v="279.0"/>
        <n v="747.0"/>
        <n v="189.0"/>
        <n v="702.0"/>
        <n v="4041.0"/>
        <n v="471.0"/>
        <n v="9998.0"/>
        <n v="930.0"/>
        <n v="3763.0"/>
        <n v="1057.0"/>
        <n v="655.0"/>
        <n v="1034.0"/>
        <n v="240.0"/>
        <n v="2344.0"/>
        <n v="1956.0"/>
        <n v="2946.0"/>
        <n v="1968.0"/>
        <n v="5019.0"/>
        <n v="377.0"/>
        <n v="938.0"/>
        <n v="1077.0"/>
        <n v="4789.0"/>
        <n v="1906.0"/>
        <n v="1263.0"/>
        <n v="1091.0"/>
        <n v="2875.0"/>
        <n v="1646.0"/>
        <n v="447.0"/>
        <n v="720.0"/>
        <n v="1266.0"/>
        <n v="156.0"/>
        <n v="3853.0"/>
        <n v="1341.0"/>
        <n v="221.0"/>
        <n v="808.0"/>
        <n v="218.0"/>
        <n v="1165.0"/>
        <n v="94.0"/>
        <n v="1472.0"/>
        <n v="1246.0"/>
        <n v="538.0"/>
        <n v="2481.0"/>
        <n v="2035.0"/>
        <n v="1900.0"/>
        <n v="585.0"/>
        <n v="574.0"/>
        <n v="1360.0"/>
        <n v="1607.0"/>
        <n v="284.0"/>
        <n v="841.0"/>
        <n v="198.0"/>
        <n v="87.0"/>
        <n v="1095.0"/>
        <n v="2544.0"/>
        <n v="2439.0"/>
        <n v="255.0"/>
        <n v="1508.0"/>
        <n v="533.0"/>
        <n v="138.0"/>
        <n v="1399.0"/>
        <n v="3516.0"/>
        <n v="2231.0"/>
        <n v="1931.0"/>
        <n v="570.0"/>
        <n v="811.0"/>
        <n v="1724.0"/>
        <n v="2274.0"/>
        <n v="1882.0"/>
        <n v="1347.0"/>
        <n v="196.0"/>
        <n v="1672.0"/>
        <n v="1599.0"/>
        <n v="1880.0"/>
        <n v="3098.0"/>
        <n v="179.0"/>
        <n v="2143.0"/>
        <n v="2350.0"/>
        <n v="283.0"/>
        <n v="1664.0"/>
        <n v="656.0"/>
        <n v="481.0"/>
        <n v="242.0"/>
        <n v="1035.0"/>
        <n v="2606.0"/>
        <n v="1448.0"/>
        <n v="2113.0"/>
        <n v="629.0"/>
        <n v="532.0"/>
        <n v="2097.0"/>
        <n v="1904.0"/>
        <n v="1864.0"/>
        <n v="349.0"/>
        <n v="923.0"/>
        <n v="690.0"/>
        <n v="1528.0"/>
        <n v="2480.0"/>
        <n v="862.0"/>
        <n v="555.0"/>
        <n v="214.0"/>
        <n v="522.0"/>
        <n v="1962.0"/>
        <n v="1777.0"/>
        <n v="1105.0"/>
        <n v="362.0"/>
        <n v="457.0"/>
        <n v="2218.0"/>
        <n v="7479.0"/>
        <n v="298.0"/>
        <n v="1276.0"/>
        <n v="97.0"/>
        <n v="1650.0"/>
        <n v="970.0"/>
        <n v="346.0"/>
        <n v="579.0"/>
        <n v="1090.0"/>
        <n v="1182.0"/>
        <n v="1485.0"/>
        <n v="459.0"/>
        <n v="2262.0"/>
        <n v="92.0"/>
        <n v="1881.0"/>
        <n v="1060.0"/>
        <n v="400.0"/>
        <n v="2090.0"/>
        <n v="1605.0"/>
        <n v="2045.0"/>
        <n v="746.0"/>
        <n v="228.0"/>
        <n v="635.0"/>
        <n v="1178.0"/>
        <n v="437.0"/>
        <n v="495.0"/>
        <n v="109.0"/>
        <n v="1922.0"/>
        <n v="1520.0"/>
        <n v="869.0"/>
        <n v="827.0"/>
        <n v="113.0"/>
        <n v="1022.0"/>
        <n v="2880.0"/>
        <n v="409.0"/>
        <n v="1482.0"/>
        <n v="395.0"/>
        <n v="589.0"/>
        <n v="171.0"/>
        <n v="2187.0"/>
        <n v="1127.0"/>
        <n v="580.0"/>
        <n v="2107.0"/>
        <n v="1800.0"/>
        <n v="722.0"/>
        <n v="205.0"/>
        <n v="3635.0"/>
        <n v="751.0"/>
        <n v="1159.0"/>
        <n v="1349.0"/>
        <n v="1163.0"/>
        <n v="2985.0"/>
        <n v="1198.0"/>
        <n v="669.0"/>
        <n v="781.0"/>
        <n v="2451.0"/>
        <n v="937.0"/>
        <n v="1055.0"/>
        <n v="365.0"/>
        <n v="296.0"/>
        <n v="129.0"/>
        <n v="2028.0"/>
        <n v="1805.0"/>
        <n v="1552.0"/>
        <n v="1761.0"/>
        <n v="935.0"/>
        <n v="928.0"/>
        <n v="88.0"/>
        <n v="1722.0"/>
        <n v="91.0"/>
        <n v="1501.0"/>
        <n v="499.0"/>
        <n v="19414.0"/>
        <n v="11278.0"/>
        <n v="996.0"/>
        <n v="4232.0"/>
        <n v="1537.0"/>
        <n v="332.0"/>
        <n v="1203.0"/>
        <n v="718.0"/>
        <n v="961.0"/>
        <n v="111.0"/>
        <n v="1714.0"/>
        <n v="2233.0"/>
        <n v="292.0"/>
        <n v="4981.0"/>
        <n v="1387.0"/>
        <n v="944.0"/>
        <n v="1343.0"/>
        <n v="1381.0"/>
        <n v="1806.0"/>
        <n v="1844.0"/>
        <n v="630.0"/>
        <n v="2367.0"/>
        <n v="1792.0"/>
        <n v="1787.0"/>
        <n v="8696.0"/>
        <n v="1052.0"/>
        <n v="609.0"/>
        <n v="1480.0"/>
        <n v="1631.0"/>
        <n v="262.0"/>
        <n v="2000.0"/>
        <n v="2160.0"/>
        <n v="1162.0"/>
        <n v="485.0"/>
        <n v="771.0"/>
        <n v="905.0"/>
        <n v="320.0"/>
        <n v="1297.0"/>
        <n v="13284.0"/>
        <n v="1208.0"/>
        <n v="1788.0"/>
        <n v="1885.0"/>
        <n v="1278.0"/>
        <n v="1718.0"/>
        <n v="823.0"/>
        <n v="700.0"/>
        <n v="1859.0"/>
        <n v="1437.0"/>
        <n v="1296.0"/>
        <n v="3254.0"/>
        <n v="723.0"/>
        <n v="1526.0"/>
        <n v="1048.0"/>
        <n v="1960.0"/>
        <n v="3087.0"/>
        <n v="1594.0"/>
        <n v="821.0"/>
        <n v="3141.0"/>
        <n v="508.0"/>
        <n v="108.0"/>
        <n v="2628.0"/>
        <n v="1789.0"/>
        <n v="7050.0"/>
        <n v="1351.0"/>
        <n v="822.0"/>
        <n v="396.0"/>
        <n v="81.0"/>
        <n v="1708.0"/>
        <n v="946.0"/>
        <n v="1000.0"/>
        <n v="749.0"/>
        <n v="1324.0"/>
        <n v="1160.0"/>
        <n v="264.0"/>
        <n v="4544.0"/>
        <n v="745.0"/>
        <n v="367.0"/>
        <n v="1254.0"/>
        <n v="1878.0"/>
        <n v="1849.0"/>
        <n v="1734.0"/>
        <n v="277.0"/>
        <n v="788.0"/>
        <n v="795.0"/>
        <n v="473.0"/>
        <n v="4771.0"/>
        <n v="941.0"/>
        <n v="736.0"/>
        <n v="757.0"/>
        <n v="1629.0"/>
        <n v="482.0"/>
        <n v="954.0"/>
        <n v="1588.0"/>
        <n v="4287.0"/>
        <n v="2640.0"/>
        <n v="1038.0"/>
        <n v="2750.0"/>
        <n v="968.0"/>
        <n v="2052.0"/>
        <n v="2668.0"/>
        <n v="2244.0"/>
        <n v="2223.0"/>
        <n v="1122.0"/>
        <n v="3040.0"/>
        <n v="1344.0"/>
        <n v="527.0"/>
        <n v="2174.0"/>
        <n v="274.0"/>
        <n v="2382.0"/>
        <n v="1282.0"/>
        <n v="1405.0"/>
        <n v="1944.0"/>
        <n v="916.0"/>
        <n v="244.0"/>
        <n v="507.0"/>
        <n v="1168.0"/>
        <n v="1355.0"/>
        <n v="2477.0"/>
        <n v="1259.0"/>
        <n v="484.0"/>
        <n v="2333.0"/>
        <n v="673.0"/>
        <n v="848.0"/>
        <n v="582.0"/>
        <n v="402.0"/>
        <n v="584.0"/>
        <n v="806.0"/>
        <n v="511.0"/>
        <n v="828.0"/>
        <n v="1436.0"/>
        <n v="735.0"/>
        <n v="707.0"/>
        <n v="721.0"/>
        <n v="2135.0"/>
        <n v="2323.0"/>
        <n v="2084.0"/>
        <n v="1980.0"/>
        <n v="454.0"/>
        <n v="1432.0"/>
        <n v="586.0"/>
        <n v="1088.0"/>
        <n v="1272.0"/>
        <n v="1715.0"/>
        <n v="2972.0"/>
        <n v="766.0"/>
        <n v="789.0"/>
        <n v="1681.0"/>
        <n v="2170.0"/>
        <n v="426.0"/>
        <n v="3032.0"/>
        <n v="784.0"/>
        <n v="583.0"/>
        <n v="3333.0"/>
        <n v="101.0"/>
        <n v="1820.0"/>
        <n v="2476.0"/>
        <n v="1425.0"/>
        <n v="632.0"/>
        <n v="871.0"/>
        <n v="2700.0"/>
        <n v="932.0"/>
        <n v="889.0"/>
        <n v="2154.0"/>
        <n v="1460.0"/>
        <n v="1499.0"/>
        <n v="132.0"/>
        <n v="2013.0"/>
        <n v="890.0"/>
        <n v="1704.0"/>
        <n v="1012.0"/>
        <n v="1455.0"/>
        <n v="5000.0"/>
        <n v="1074.0"/>
        <n v="547.0"/>
        <n v="356.0"/>
        <n v="1018.0"/>
        <n v="1698.0"/>
        <n v="1327.0"/>
        <n v="2326.0"/>
        <n v="445.0"/>
        <n v="1766.0"/>
        <n v="1322.0"/>
        <n v="1290.0"/>
        <n v="846.0"/>
        <n v="545.0"/>
        <n v="1210.0"/>
        <n v="1184.0"/>
        <n v="1148.0"/>
        <n v="1400.0"/>
        <n v="875.0"/>
        <n v="1143.0"/>
        <n v="1133.0"/>
        <n v="223.0"/>
        <n v="3400.0"/>
        <n v="1059.0"/>
        <n v="1640.0"/>
        <n v="724.0"/>
        <n v="1323.0"/>
        <n v="494.0"/>
        <n v="3015.0"/>
        <n v="406.0"/>
        <n v="1946.0"/>
        <n v="1836.0"/>
        <n v="989.0"/>
        <n v="5650.0"/>
        <n v="791.0"/>
        <n v="510.0"/>
        <n v="14023.0"/>
        <n v="1493.0"/>
        <n v="1284.0"/>
        <n v="919.0"/>
        <n v="260.0"/>
        <n v="1032.0"/>
        <n v="119.0"/>
        <n v="1377.0"/>
        <n v="1332.0"/>
        <n v="3746.0"/>
        <n v="1774.0"/>
        <n v="4279.0"/>
        <n v="768.0"/>
        <n v="1427.0"/>
        <n v="1017.0"/>
        <n v="1380.0"/>
        <n v="452.0"/>
        <n v="1449.0"/>
        <n v="550.0"/>
        <n v="1226.0"/>
        <n v="1396.0"/>
        <n v="1389.0"/>
        <n v="1780.0"/>
        <n v="554.0"/>
        <n v="3625.0"/>
        <n v="64.0"/>
        <n v="2378.0"/>
        <n v="1643.0"/>
        <n v="6409.0"/>
        <n v="861.0"/>
        <n v="1087.0"/>
        <n v="2300.0"/>
        <n v="1439.0"/>
        <n v="1280.0"/>
        <n v="2176.0"/>
        <n v="2226.0"/>
        <n v="6570.0"/>
        <n v="667.0"/>
        <n v="1342.0"/>
        <n v="1706.0"/>
        <n v="5100.0"/>
        <n v="922.0"/>
        <n v="504.0"/>
        <n v="563.0"/>
        <n v="1571.0"/>
        <n v="2397.0"/>
        <n v="1115.0"/>
        <n v="1064.0"/>
        <n v="2384.0"/>
        <n v="1776.0"/>
        <n v="1730.0"/>
        <n v="727.0"/>
        <n v="664.0"/>
        <n v="19706.0"/>
        <n v="864.0"/>
        <n v="1778.0"/>
        <n v="1592.0"/>
        <n v="258.0"/>
        <n v="2782.0"/>
        <n v="873.0"/>
        <n v="936.0"/>
        <s v="TBD"/>
        <n v="7140.0"/>
        <n v="1992.0"/>
        <n v="1252.0"/>
        <n v="2173.0"/>
        <n v="1265.0"/>
        <n v="2600.0"/>
        <n v="854.0"/>
        <n v="549.0"/>
        <n v="1852.0"/>
        <n v="976.0"/>
        <n v="141.0"/>
        <n v="4474.0"/>
        <n v="719.0"/>
        <n v="2667.0"/>
        <n v="2650.0"/>
        <n v="1371.0"/>
        <n v="677.0"/>
        <n v="1010.0"/>
        <n v="1153.0"/>
        <n v="1092.0"/>
        <n v="769.0"/>
        <n v="983.0"/>
        <n v="4795.0"/>
        <n v="815.0"/>
        <n v="117.0"/>
        <n v="1301.0"/>
        <n v="840.0"/>
        <n v="1597.0"/>
        <n v="796.0"/>
        <n v="1270.0"/>
        <n v="2618.0"/>
        <n v="601.0"/>
        <n v="1100.0"/>
        <n v="1503.0"/>
        <n v="907.0"/>
        <n v="3278.0"/>
        <n v="884.0"/>
        <n v="2053.0"/>
        <n v="878.0"/>
        <n v="5518.0"/>
        <n v="1647.0"/>
        <n v="839.0"/>
        <n v="628.0"/>
        <n v="153.0"/>
        <n v="418.0"/>
        <n v="1556.0"/>
        <n v="2103.0"/>
        <n v="993.0"/>
        <n v="1450.0"/>
        <n v="1123.0"/>
        <n v="915.0"/>
        <n v="398.0"/>
        <n v="2050.0"/>
        <n v="744.0"/>
        <n v="2396.0"/>
        <n v="2607.0"/>
        <n v="853.0"/>
        <n v="599.0"/>
        <n v="2520.0"/>
        <n v="2316.0"/>
        <n v="726.0"/>
        <n v="921.0"/>
        <n v="631.0"/>
        <n v="1783.0"/>
        <n v="1403.0"/>
        <n v="4610.0"/>
        <n v="1066.0"/>
        <n v="901.0"/>
        <n v="832.0"/>
        <n v="2767.0"/>
        <n v="1188.0"/>
        <n v="2059.0"/>
        <n v="689.0"/>
        <n v="1221.0"/>
        <n v="134.0"/>
        <n v="2964.0"/>
        <n v="1186.0"/>
        <n v="4259.0"/>
        <n v="1047.0"/>
        <n v="203.0"/>
        <n v="2442.0"/>
        <n v="2950.0"/>
        <n v="1312.0"/>
        <n v="856.0"/>
        <n v="2466.0"/>
        <n v="2991.0"/>
        <n v="3260.0"/>
        <n v="1185.0"/>
        <n v="2237.0"/>
        <n v="3120.0"/>
        <n v="2024.0"/>
        <n v="893.0"/>
        <n v="1498.0"/>
        <n v="2002.0"/>
        <n v="2610.0"/>
        <n v="2564.0"/>
        <n v="1237.0"/>
        <n v="2110.0"/>
        <n v="1475.0"/>
        <n v="1102.0"/>
        <n v="668.0"/>
        <n v="55.0"/>
        <n v="312.0"/>
        <m/>
        <n v="12267.0"/>
        <n v="0.0"/>
      </sharedItems>
    </cacheField>
    <cacheField name="WeekOfYear" numFmtId="0">
      <sharedItems containsString="0" containsBlank="1" containsNumber="1" containsInteger="1">
        <n v="17.0"/>
        <n v="18.0"/>
        <n v="19.0"/>
        <n v="20.0"/>
        <n v="21.0"/>
        <n v="22.0"/>
        <n v="23.0"/>
        <n v="24.0"/>
        <n v="25.0"/>
        <n v="26.0"/>
        <n v="27.0"/>
        <n v="28.0"/>
        <n v="29.0"/>
        <n v="30.0"/>
        <n v="31.0"/>
        <n v="32.0"/>
        <n v="33.0"/>
        <n v="34.0"/>
        <n v="35.0"/>
        <n v="36.0"/>
        <n v="37.0"/>
        <n v="38.0"/>
        <n v="39.0"/>
        <n v="40.0"/>
        <n v="41.0"/>
        <n v="42.0"/>
        <n v="43.0"/>
        <n v="44.0"/>
        <n v="45.0"/>
        <n v="46.0"/>
        <n v="47.0"/>
        <n v="48.0"/>
        <n v="49.0"/>
        <n v="50.0"/>
        <n v="51.0"/>
        <n v="52.0"/>
        <n v="53.0"/>
        <n v="2.0"/>
        <n v="3.0"/>
        <n v="4.0"/>
        <n v="5.0"/>
        <n v="6.0"/>
        <n v="7.0"/>
        <n v="8.0"/>
        <n v="9.0"/>
        <n v="10.0"/>
        <n v="11.0"/>
        <n v="12.0"/>
        <n v="13.0"/>
        <n v="14.0"/>
        <n v="15.0"/>
        <n v="16.0"/>
        <n v="1.0"/>
        <m/>
      </sharedItems>
    </cacheField>
    <cacheField name="WeekOfProgram"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90.0"/>
        <n v="92.0"/>
        <n v="93.0"/>
        <n v="94.0"/>
        <n v="95.0"/>
        <n v="96.0"/>
        <n v="97.0"/>
        <n v="98.0"/>
        <n v="99.0"/>
        <n v="100.0"/>
        <n v="101.0"/>
        <n v="102.0"/>
        <n v="103.0"/>
        <n v="104.0"/>
        <n v="105.0"/>
        <n v="106.0"/>
        <n v="107.0"/>
        <n v="108.0"/>
        <n v="109.0"/>
        <n v="110.0"/>
        <n v="111.0"/>
        <n v="113.0"/>
        <n v="114.0"/>
        <n v="115.0"/>
        <n v="116.0"/>
        <n v="117.0"/>
        <n v="118.0"/>
        <n v="119.0"/>
        <n v="120.0"/>
        <n v="121.0"/>
        <n v="122.0"/>
        <n v="123.0"/>
        <n v="124.0"/>
        <n v="125.0"/>
        <n v="126.0"/>
        <n v="127.0"/>
        <n v="128.0"/>
        <n v="129.0"/>
        <n v="130.0"/>
        <n v="131.0"/>
        <n v="132.0"/>
        <n v="133.0"/>
        <n v="134.0"/>
        <n v="135.0"/>
        <n v="136.0"/>
        <n v="137.0"/>
        <n v="139.0"/>
        <n v="140.0"/>
        <n v="141.0"/>
        <n v="142.0"/>
        <n v="143.0"/>
        <n v="144.0"/>
        <n v="145.0"/>
        <n v="146.0"/>
        <n v="147.0"/>
        <n v="148.0"/>
        <n v="149.0"/>
        <n v="150.0"/>
        <n v="151.0"/>
        <n v="152.0"/>
        <n v="153.0"/>
        <n v="155.0"/>
        <n v="156.0"/>
        <n v="157.0"/>
        <n v="158.0"/>
        <n v="159.0"/>
        <n v="160.0"/>
        <n v="161.0"/>
        <n v="162.0"/>
        <n v="163.0"/>
        <n v="164.0"/>
        <n v="165.0"/>
        <n v="166.0"/>
        <n v="167.0"/>
        <n v="168.0"/>
        <n v="169.0"/>
        <n v="171.0"/>
        <n v="172.0"/>
        <n v="173.0"/>
        <n v="174.0"/>
        <n v="175.0"/>
        <n v="176.0"/>
        <n v="177.0"/>
        <n v="178.0"/>
        <n v="179.0"/>
        <n v="180.0"/>
        <n v="181.0"/>
        <n v="182.0"/>
        <n v="183.0"/>
        <n v="184.0"/>
        <n v="185.0"/>
        <n v="186.0"/>
        <n v="187.0"/>
        <n v="188.0"/>
        <n v="189.0"/>
        <n v="191.0"/>
        <n v="192.0"/>
        <n v="193.0"/>
        <n v="194.0"/>
        <n v="197.0"/>
        <n v="198.0"/>
        <n v="199.0"/>
        <n v="200.0"/>
        <n v="201.0"/>
        <n v="202.0"/>
        <n v="203.0"/>
        <n v="204.0"/>
        <n v="205.0"/>
        <n v="206.0"/>
        <n v="207.0"/>
        <n v="208.0"/>
        <n v="210.0"/>
        <n v="211.0"/>
        <n v="212.0"/>
        <n v="213.0"/>
        <n v="214.0"/>
        <n v="215.0"/>
        <n v="216.0"/>
        <n v="217.0"/>
        <n v="218.0"/>
        <n v="219.0"/>
        <n v="220.0"/>
        <n v="221.0"/>
        <n v="222.0"/>
        <n v="224.0"/>
        <n v="225.0"/>
        <n v="226.0"/>
        <n v="227.0"/>
        <n v="228.0"/>
        <n v="229.0"/>
        <n v="230.0"/>
        <n v="231.0"/>
        <n v="232.0"/>
        <n v="233.0"/>
        <n v="234.0"/>
        <n v="235.0"/>
        <n v="236.0"/>
        <n v="237.0"/>
        <n v="238.0"/>
        <n v="239.0"/>
        <n v="240.0"/>
        <n v="241.0"/>
        <n v="242.0"/>
        <n v="243.0"/>
        <n v="244.0"/>
        <n v="245.0"/>
        <n v="246.0"/>
        <n v="247.0"/>
        <n v="248.0"/>
        <n v="250.0"/>
        <n v="251.0"/>
        <n v="252.0"/>
        <n v="253.0"/>
        <n v="254.0"/>
        <n v="255.0"/>
        <n v="256.0"/>
        <n v="257.0"/>
        <n v="258.0"/>
        <n v="259.0"/>
        <n v="260.0"/>
        <n v="261.0"/>
        <n v="262.0"/>
        <n v="263.0"/>
        <n v="264.0"/>
        <n v="265.0"/>
        <n v="266.0"/>
        <n v="267.0"/>
        <n v="268.0"/>
        <n v="269.0"/>
        <n v="270.0"/>
        <n v="271.0"/>
        <n v="272.0"/>
        <n v="273.0"/>
        <n v="274.0"/>
        <n v="275.0"/>
        <n v="277.0"/>
        <n v="278.0"/>
        <n v="279.0"/>
        <n v="280.0"/>
        <n v="281.0"/>
        <m/>
        <n v="303.0"/>
      </sharedItems>
    </cacheField>
    <cacheField name="Year" numFmtId="0">
      <sharedItems containsString="0" containsBlank="1" containsNumber="1" containsInteger="1">
        <n v="2020.0"/>
        <n v="2021.0"/>
        <n v="2022.0"/>
        <n v="2023.0"/>
        <n v="2024.0"/>
        <n v="2025.0"/>
        <m/>
        <n v="2026.0"/>
      </sharedItems>
    </cacheField>
    <cacheField name="Column 1" numFmtId="0">
      <sharedItems containsBlank="1">
        <m/>
        <s v="NCL"/>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624" sheet="InputData"/>
  </cacheSource>
  <cacheFields>
    <cacheField name="Date" numFmtId="164">
      <sharedItems containsSemiMixedTypes="0" containsDate="1" containsString="0">
        <d v="2020-04-22T00:00:00Z"/>
        <d v="2020-04-29T00:00:00Z"/>
        <d v="2020-05-06T00:00:00Z"/>
        <d v="2020-05-13T00:00:00Z"/>
        <d v="2020-05-20T00:00:00Z"/>
        <d v="2020-05-27T00:00:00Z"/>
        <d v="2020-06-03T00:00:00Z"/>
        <d v="2020-06-10T00:00:00Z"/>
        <d v="2020-06-17T00:00:00Z"/>
        <d v="2020-06-24T00:00:00Z"/>
        <d v="2020-07-01T00:00:00Z"/>
        <d v="2020-07-08T00:00:00Z"/>
        <d v="2020-07-15T00:00:00Z"/>
        <d v="2020-07-22T00:00:00Z"/>
        <d v="2020-07-29T00:00:00Z"/>
        <d v="2020-08-05T00:00:00Z"/>
        <d v="2020-08-12T00:00:00Z"/>
        <d v="2020-08-19T00:00:00Z"/>
        <d v="2020-08-26T00:00:00Z"/>
        <d v="2020-09-02T00:00:00Z"/>
        <d v="2020-09-09T00:00:00Z"/>
        <d v="2020-09-16T00:00:00Z"/>
        <d v="2020-09-23T00:00:00Z"/>
        <d v="2020-09-30T00:00:00Z"/>
        <d v="2020-10-07T00:00:00Z"/>
        <d v="2020-10-14T00:00:00Z"/>
        <d v="2020-10-21T00:00:00Z"/>
        <d v="2020-10-28T00:00:00Z"/>
        <d v="2020-11-04T00:00:00Z"/>
        <d v="2020-11-11T00:00:00Z"/>
        <d v="2020-11-18T00:00:00Z"/>
        <d v="2020-11-25T00:00:00Z"/>
        <d v="2020-12-02T00:00:00Z"/>
        <d v="2020-12-09T00:00:00Z"/>
        <d v="2020-12-16T00:00:00Z"/>
        <d v="2020-12-23T00:00:00Z"/>
        <d v="2020-12-30T00:00:00Z"/>
        <d v="2021-01-06T00:00:00Z"/>
        <d v="2021-01-13T00:00:00Z"/>
        <d v="2021-01-20T00:00:00Z"/>
        <d v="2021-01-27T00:00:00Z"/>
        <d v="2021-02-03T00:00:00Z"/>
        <d v="2021-02-10T00:00:00Z"/>
        <d v="2021-02-17T00:00:00Z"/>
        <d v="2021-02-24T00:00:00Z"/>
        <d v="2021-03-03T00:00:00Z"/>
        <d v="2021-03-10T00:00:00Z"/>
        <d v="2021-03-17T00:00:00Z"/>
        <d v="2021-03-24T00:00:00Z"/>
        <d v="2021-03-31T00:00:00Z"/>
        <d v="2021-04-07T00:00:00Z"/>
        <d v="2021-04-14T00:00:00Z"/>
        <d v="2021-04-21T00:00:00Z"/>
        <d v="2021-04-28T00:00:00Z"/>
        <d v="2021-05-05T00:00:00Z"/>
        <d v="2021-05-12T00:00:00Z"/>
        <d v="2021-05-19T00:00:00Z"/>
        <d v="2021-05-26T00:00:00Z"/>
        <d v="2021-06-02T00:00:00Z"/>
        <d v="2021-06-09T00:00:00Z"/>
        <d v="2021-06-16T00:00:00Z"/>
        <d v="2021-06-23T00:00:00Z"/>
        <d v="2021-06-30T00:00:00Z"/>
        <d v="2021-07-07T00:00:00Z"/>
        <d v="2021-07-14T00:00:00Z"/>
        <d v="2021-07-21T00:00:00Z"/>
        <d v="2021-07-28T00:00:00Z"/>
        <d v="2021-08-04T00:00:00Z"/>
        <d v="2021-08-11T00:00:00Z"/>
        <d v="2021-08-18T00:00:00Z"/>
        <d v="2021-08-25T00:00:00Z"/>
        <d v="2021-09-01T00:00:00Z"/>
        <d v="2021-09-08T00:00:00Z"/>
        <d v="2021-09-15T00:00:00Z"/>
        <d v="2021-09-22T00:00:00Z"/>
        <d v="2021-09-29T00:00:00Z"/>
        <d v="2021-10-06T00:00:00Z"/>
        <d v="2021-10-13T00:00:00Z"/>
        <d v="2021-10-20T00:00:00Z"/>
        <d v="2021-10-27T00:00:00Z"/>
        <d v="2021-11-03T00:00:00Z"/>
        <d v="2021-11-10T00:00:00Z"/>
        <d v="2021-11-17T00:00:00Z"/>
        <d v="2021-11-22T00:00:00Z"/>
        <d v="2021-12-01T00:00:00Z"/>
        <d v="2021-12-08T00:00:00Z"/>
        <d v="2021-12-15T00:00:00Z"/>
        <d v="2021-12-29T00:00:00Z"/>
        <d v="2022-01-03T00:00:00Z"/>
        <d v="2022-01-05T00:00:00Z"/>
        <d v="2022-01-12T00:00:00Z"/>
        <d v="2022-01-17T00:00:00Z"/>
        <d v="2022-01-19T00:00:00Z"/>
        <d v="2022-01-26T00:00:00Z"/>
        <d v="2022-02-02T00:00:00Z"/>
        <d v="2022-02-09T00:00:00Z"/>
        <d v="2022-02-16T00:00:00Z"/>
        <d v="2022-02-17T00:00:00Z"/>
        <d v="2022-02-23T00:00:00Z"/>
        <d v="2022-03-02T00:00:00Z"/>
        <d v="2022-03-09T00:00:00Z"/>
        <d v="2022-03-16T00:00:00Z"/>
        <d v="2022-03-23T00:00:00Z"/>
        <d v="2022-03-30T00:00:00Z"/>
        <d v="2022-04-06T00:00:00Z"/>
        <d v="2022-04-13T00:00:00Z"/>
        <d v="2022-04-20T00:00:00Z"/>
        <d v="2022-04-27T00:00:00Z"/>
        <d v="2022-05-04T00:00:00Z"/>
        <d v="2022-05-11T00:00:00Z"/>
        <d v="2022-05-15T00:00:00Z"/>
        <d v="2022-05-18T00:00:00Z"/>
        <d v="2022-06-01T00:00:00Z"/>
        <d v="2022-06-08T00:00:00Z"/>
        <d v="2022-06-15T00:00:00Z"/>
        <d v="2022-06-22T00:00:00Z"/>
        <d v="2022-06-29T00:00:00Z"/>
        <d v="2022-07-06T00:00:00Z"/>
        <d v="2022-07-13T00:00:00Z"/>
        <d v="2022-07-20T00:00:00Z"/>
        <d v="2022-07-27T00:00:00Z"/>
        <d v="2022-08-03T00:00:00Z"/>
        <d v="2022-08-10T00:00:00Z"/>
        <d v="2022-08-17T00:00:00Z"/>
        <d v="2022-08-24T00:00:00Z"/>
        <d v="2022-08-31T00:00:00Z"/>
        <d v="2022-09-07T00:00:00Z"/>
        <d v="2022-09-14T00:00:00Z"/>
        <d v="2022-09-21T00:00:00Z"/>
        <d v="2022-09-28T00:00:00Z"/>
        <d v="2022-10-05T00:00:00Z"/>
        <d v="2022-10-12T00:00:00Z"/>
        <d v="2022-10-19T00:00:00Z"/>
        <d v="2022-10-26T00:00:00Z"/>
        <d v="2022-11-02T00:00:00Z"/>
        <d v="2022-11-09T00:00:00Z"/>
        <d v="2022-11-16T00:00:00Z"/>
        <d v="2022-11-30T00:00:00Z"/>
        <d v="2022-12-07T00:00:00Z"/>
        <d v="2022-12-14T00:00:00Z"/>
        <d v="2022-12-21T00:00:00Z"/>
        <d v="2022-12-28T00:00:00Z"/>
        <d v="2023-01-04T00:00:00Z"/>
        <d v="2023-01-11T00:00:00Z"/>
        <d v="2023-01-16T00:00:00Z"/>
        <d v="2023-01-18T00:00:00Z"/>
        <d v="2023-01-25T00:00:00Z"/>
        <d v="2023-02-01T00:00:00Z"/>
        <d v="2023-02-08T00:00:00Z"/>
        <d v="2023-02-15T00:00:00Z"/>
        <d v="2023-02-22T00:00:00Z"/>
        <d v="2023-03-01T00:00:00Z"/>
        <d v="2023-03-08T00:00:00Z"/>
        <d v="2023-03-22T00:00:00Z"/>
        <d v="2023-03-29T00:00:00Z"/>
        <d v="2023-04-05T00:00:00Z"/>
        <d v="2023-04-12T00:00:00Z"/>
        <d v="2023-04-19T00:00:00Z"/>
        <d v="2023-04-26T00:00:00Z"/>
        <d v="2023-05-03T00:00:00Z"/>
        <d v="2023-05-10T00:00:00Z"/>
        <d v="2023-05-17T00:00:00Z"/>
        <d v="2023-05-24T00:00:00Z"/>
        <d v="2023-05-31T00:00:00Z"/>
        <d v="2023-06-07T00:00:00Z"/>
        <d v="2023-06-14T00:00:00Z"/>
        <d v="2023-06-21T00:00:00Z"/>
        <d v="2023-06-28T00:00:00Z"/>
        <d v="2023-07-11T00:00:00Z"/>
        <d v="2023-07-19T00:00:00Z"/>
        <d v="2023-07-26T00:00:00Z"/>
        <d v="2023-08-02T00:00:00Z"/>
        <d v="2023-08-09T00:00:00Z"/>
        <d v="2023-08-16T00:00:00Z"/>
        <d v="2023-08-24T00:00:00Z"/>
        <d v="2023-08-30T00:00:00Z"/>
        <d v="2023-09-06T00:00:00Z"/>
        <d v="2023-09-13T00:00:00Z"/>
        <d v="2023-09-20T00:00:00Z"/>
        <d v="2023-09-27T00:00:00Z"/>
        <d v="2023-10-05T00:00:00Z"/>
        <d v="2023-10-11T00:00:00Z"/>
        <d v="2023-10-18T00:00:00Z"/>
        <d v="2023-10-25T00:00:00Z"/>
        <d v="2023-11-01T00:00:00Z"/>
        <d v="2023-11-08T00:00:00Z"/>
        <d v="2023-11-15T00:00:00Z"/>
        <d v="2023-11-29T00:00:00Z"/>
        <d v="2023-12-06T00:00:00Z"/>
        <d v="2023-12-13T00:00:00Z"/>
        <d v="2023-12-20T00:00:00Z"/>
        <d v="2024-01-03T00:00:00Z"/>
        <d v="2024-01-10T00:00:00Z"/>
        <d v="2024-01-17T00:00:00Z"/>
        <d v="2024-01-24T00:00:00Z"/>
        <d v="2024-01-31T00:00:00Z"/>
        <d v="2024-02-07T00:00:00Z"/>
        <d v="2024-02-14T00:00:00Z"/>
        <d v="2024-02-21T00:00:00Z"/>
        <d v="2024-02-28T00:00:00Z"/>
        <d v="2024-03-06T00:00:00Z"/>
        <d v="2024-03-13T00:00:00Z"/>
        <d v="2024-03-20T00:00:00Z"/>
        <d v="2024-04-03T00:00:00Z"/>
        <d v="2024-04-10T00:00:00Z"/>
        <d v="2024-04-17T00:00:00Z"/>
        <d v="2024-04-23T00:00:00Z"/>
        <d v="2024-05-01T00:00:00Z"/>
        <d v="2024-05-08T00:00:00Z"/>
        <d v="2024-05-15T00:00:00Z"/>
        <d v="2024-05-22T00:00:00Z"/>
        <d v="2024-05-28T00:00:00Z"/>
        <d v="2024-06-05T00:00:00Z"/>
        <d v="2024-06-12T00:00:00Z"/>
        <d v="2024-06-19T00:00:00Z"/>
        <d v="2024-06-26T00:00:00Z"/>
        <d v="2024-07-10T00:00:00Z"/>
        <d v="2024-07-17T00:00:00Z"/>
        <d v="2024-07-24T00:00:00Z"/>
        <d v="2024-07-31T00:00:00Z"/>
        <d v="2024-08-07T00:00:00Z"/>
        <d v="2024-08-14T00:00:00Z"/>
        <d v="2024-08-21T00:00:00Z"/>
        <d v="2024-08-28T00:00:00Z"/>
        <d v="2024-09-04T00:00:00Z"/>
        <d v="2024-09-11T00:00:00Z"/>
        <d v="2024-09-18T00:00:00Z"/>
        <d v="2024-09-25T00:00:00Z"/>
        <d v="2024-10-02T00:00:00Z"/>
        <d v="2024-10-09T00:00:00Z"/>
        <d v="2024-10-16T00:00:00Z"/>
        <d v="2024-10-23T00:00:00Z"/>
        <d v="2024-10-30T00:00:00Z"/>
        <d v="2024-11-06T00:00:00Z"/>
        <d v="2024-11-13T00:00:00Z"/>
        <d v="2024-11-20T00:00:00Z"/>
        <d v="2024-11-28T00:00:00Z"/>
        <d v="2024-12-04T00:00:00Z"/>
        <d v="2024-12-11T00:00:00Z"/>
        <d v="2024-12-18T00:00:00Z"/>
        <d v="2024-12-26T00:00:00Z"/>
        <d v="2025-01-01T00:00:00Z"/>
        <d v="2025-01-08T00:00:00Z"/>
        <d v="2025-01-15T00:00:00Z"/>
        <d v="2025-01-20T00:00:00Z"/>
        <d v="2025-01-22T00:00:00Z"/>
        <d v="2025-01-29T00:00:00Z"/>
        <d v="2025-02-05T00:00:00Z"/>
        <d v="2025-02-12T00:00:00Z"/>
        <d v="2025-02-19T00:00:00Z"/>
        <d v="2025-02-26T00:00:00Z"/>
        <d v="2025-03-05T00:00:00Z"/>
        <d v="2025-03-12T00:00:00Z"/>
        <d v="2025-03-19T00:00:00Z"/>
        <d v="2025-03-27T00:00:00Z"/>
        <d v="2025-04-02T00:00:00Z"/>
        <d v="2025-04-09T00:00:00Z"/>
        <d v="2025-04-16T00:00:00Z"/>
        <d v="2025-04-23T00:00:00Z"/>
        <d v="2025-04-30T00:00:00Z"/>
        <d v="2025-05-07T00:00:00Z"/>
        <d v="2025-05-14T00:00:00Z"/>
        <d v="2025-05-21T00:00:00Z"/>
        <d v="2025-05-29T00:00:00Z"/>
        <d v="2025-06-04T00:00:00Z"/>
        <d v="2025-06-11T00:00:00Z"/>
        <d v="2025-06-19T00:00:00Z"/>
      </sharedItems>
    </cacheField>
    <cacheField name="Location" numFmtId="0">
      <sharedItems>
        <s v="GROUPS Numbers displayed only when not included in a host's count."/>
        <s v="ALPHARETTA ( Karen, Nancy, Carrey, Kelly, Jason)"/>
        <s v="DUNWOODY/PTC (Marcy, Lisa, Darren, Renee, Suzanna, Sonika, Tracie)"/>
        <s v="E COBB/ROSWELL (Natalie, Silke, Vicki, Rachel, Judy, Jenny)"/>
        <s v="P'TREE CORNERS (Elaine, Renee V, Susannah, Tracie)"/>
        <s v="PREVIOUS OAK GROVE"/>
        <s v="SANDY SPRINGS (Allison, Jen, Terri, Sarah, Kate)"/>
        <s v="DECATUR (Sonika)"/>
        <s v="PREVIOUS BUCKHEAD"/>
        <s v="SNELLVILLE"/>
        <s v="INTOWN/DRUID HILLS (Laura, Jordan, Angie, Della, Julie, Ashley)"/>
        <s v="Previous Woodstock"/>
        <s v="Previous Lenox/Brookhaven"/>
        <s v="Previous New Chastain"/>
        <s v="Previous Glenwood Park"/>
        <s v="FLOWERY BRANCH (Kristina)"/>
        <s v="GROUPS"/>
        <s v="Collective Learning"/>
      </sharedItems>
    </cacheField>
    <cacheField name="Sandwiches">
      <sharedItems containsMixedTypes="1" containsNumber="1" containsInteger="1">
        <n v="317.0"/>
        <n v="530.0"/>
        <n v="290.0"/>
        <n v="430.0"/>
        <n v="581.0"/>
        <n v="432.0"/>
        <n v="780.0"/>
        <n v="939.0"/>
        <n v="995.0"/>
        <n v="1177.0"/>
        <n v="626.0"/>
        <n v="866.0"/>
        <n v="1231.0"/>
        <n v="1195.0"/>
        <n v="991.0"/>
        <n v="953.0"/>
        <n v="752.0"/>
        <n v="1114.0"/>
        <n v="965.0"/>
        <n v="813.0"/>
        <n v="1361.0"/>
        <n v="1269.0"/>
        <n v="1316.0"/>
        <n v="1684.0"/>
        <n v="1414.0"/>
        <n v="943.0"/>
        <n v="1364.0"/>
        <n v="1454.0"/>
        <n v="1474.0"/>
        <n v="2595.0"/>
        <n v="3159.0"/>
        <n v="2518.0"/>
        <n v="1511.0"/>
        <n v="1365.0"/>
        <n v="1762.0"/>
        <n v="1481.0"/>
        <n v="2311.0"/>
        <n v="1841.0"/>
        <n v="1912.0"/>
        <n v="2865.0"/>
        <n v="3109.0"/>
        <n v="4711.0"/>
        <n v="3840.0"/>
        <n v="5418.0"/>
        <n v="6030.0"/>
        <n v="5186.0"/>
        <n v="3989.0"/>
        <n v="4052.0"/>
        <n v="4865.0"/>
        <n v="4225.0"/>
        <n v="5442.0"/>
        <n v="7241.0"/>
        <n v="10085.0"/>
        <n v="9454.0"/>
        <n v="6715.0"/>
        <n v="8579.0"/>
        <n v="5475.0"/>
        <n v="4063.0"/>
        <n v="4198.0"/>
        <n v="5372.0"/>
        <n v="6175.0"/>
        <n v="5764.0"/>
        <n v="6847.0"/>
        <n v="5245.0"/>
        <n v="4780.0"/>
        <n v="4568.0"/>
        <n v="600.0"/>
        <n v="1989.0"/>
        <n v="1071.0"/>
        <n v="160.0"/>
        <n v="451.0"/>
        <n v="419.0"/>
        <n v="790.0"/>
        <n v="30.0"/>
        <n v="2008.0"/>
        <n v="988.0"/>
        <n v="99.0"/>
        <n v="48.0"/>
        <n v="425.0"/>
        <n v="594.0"/>
        <n v="1865.0"/>
        <n v="1855.0"/>
        <n v="114.0"/>
        <n v="273.0"/>
        <n v="60.0"/>
        <n v="127.0"/>
        <n v="651.0"/>
        <n v="2225.0"/>
        <n v="126.0"/>
        <n v="120.0"/>
        <n v="660.0"/>
        <n v="509.0"/>
        <n v="9.0"/>
        <n v="1522.0"/>
        <n v="1328.0"/>
        <n v="266.0"/>
        <n v="72.0"/>
        <n v="210.0"/>
        <n v="1005.0"/>
        <n v="1874.0"/>
        <n v="1218.0"/>
        <n v="188.0"/>
        <n v="40.0"/>
        <n v="598.0"/>
        <n v="1043.0"/>
        <n v="2806.0"/>
        <n v="1229.0"/>
        <n v="130.0"/>
        <n v="308.0"/>
        <n v="285.0"/>
        <n v="1247.0"/>
        <n v="2555.0"/>
        <n v="2144.0"/>
        <n v="184.0"/>
        <n v="112.0"/>
        <n v="500.0"/>
        <n v="851.0"/>
        <n v="3728.0"/>
        <n v="245.0"/>
        <n v="122.0"/>
        <n v="373.0"/>
        <n v="777.0"/>
        <n v="166.0"/>
        <n v="3517.0"/>
        <n v="1180.0"/>
        <n v="229.0"/>
        <n v="82.0"/>
        <n v="390.0"/>
        <n v="10.0"/>
        <n v="2720.0"/>
        <n v="2204.0"/>
        <n v="470.0"/>
        <n v="350.0"/>
        <n v="540.0"/>
        <n v="2432.0"/>
        <n v="1585.0"/>
        <n v="73.0"/>
        <n v="386.0"/>
        <n v="2553.0"/>
        <n v="1688.0"/>
        <n v="307.0"/>
        <n v="850.0"/>
        <n v="868.0"/>
        <n v="80.0"/>
        <n v="1890.0"/>
        <n v="2214.0"/>
        <n v="558.0"/>
        <n v="103.0"/>
        <n v="575.0"/>
        <n v="3000.0"/>
        <n v="818.0"/>
        <n v="106.0"/>
        <n v="438.0"/>
        <n v="3293.0"/>
        <n v="1292.0"/>
        <n v="371.0"/>
        <n v="1013.0"/>
        <n v="706.0"/>
        <n v="12.0"/>
        <n v="3097.0"/>
        <n v="2400.0"/>
        <n v="428.0"/>
        <n v="253.0"/>
        <n v="161.0"/>
        <n v="900.0"/>
        <n v="5033.0"/>
        <n v="879.0"/>
        <n v="225.0"/>
        <n v="513.0"/>
        <n v="649.0"/>
        <n v="566.0"/>
        <n v="2412.0"/>
        <n v="4109.0"/>
        <n v="351.0"/>
        <n v="263.0"/>
        <n v="162.0"/>
        <n v="842.0"/>
        <n v="28.0"/>
        <n v="3975.0"/>
        <n v="2210.0"/>
        <n v="282.0"/>
        <n v="755.0"/>
        <n v="974.0"/>
        <n v="39.0"/>
        <n v="2478.0"/>
        <n v="2011.0"/>
        <n v="185.0"/>
        <n v="252.0"/>
        <n v="239.0"/>
        <n v="2236.0"/>
        <n v="84.0"/>
        <n v="2341.0"/>
        <n v="1861.0"/>
        <n v="344.0"/>
        <n v="335.0"/>
        <n v="100.0"/>
        <n v="401.0"/>
        <n v="1801.0"/>
        <n v="165.0"/>
        <n v="4550.0"/>
        <n v="224.0"/>
        <n v="462.0"/>
        <n v="276.0"/>
        <n v="486.0"/>
        <n v="1190.0"/>
        <n v="3564.0"/>
        <n v="1803.0"/>
        <n v="304.0"/>
        <n v="551.0"/>
        <n v="422.0"/>
        <n v="200.0"/>
        <n v="442.0"/>
        <n v="1569.0"/>
        <n v="68.0"/>
        <n v="3121.0"/>
        <n v="1809.0"/>
        <n v="368.0"/>
        <n v="249.0"/>
        <n v="1326.0"/>
        <n v="391.0"/>
        <n v="364.0"/>
        <n v="1054.0"/>
        <n v="2844.0"/>
        <n v="1877.0"/>
        <n v="102.0"/>
        <n v="773.0"/>
        <n v="287.0"/>
        <n v="443.0"/>
        <n v="2291.0"/>
        <n v="1927.0"/>
        <n v="1330.0"/>
        <n v="235.0"/>
        <n v="230.0"/>
        <n v="638.0"/>
        <n v="110.0"/>
        <n v="330.0"/>
        <n v="150.0"/>
        <n v="3471.0"/>
        <n v="1240.0"/>
        <n v="1837.0"/>
        <n v="90.0"/>
        <n v="516.0"/>
        <n v="61.0"/>
        <n v="1699.0"/>
        <n v="107.0"/>
        <n v="2068.0"/>
        <n v="1911.0"/>
        <n v="180.0"/>
        <n v="237.0"/>
        <n v="616.0"/>
        <n v="145.0"/>
        <n v="131.0"/>
        <n v="529.0"/>
        <n v="125.0"/>
        <n v="867.0"/>
        <n v="2267.0"/>
        <n v="2156.0"/>
        <n v="275.0"/>
        <n v="496.0"/>
        <n v="259.0"/>
        <n v="1134.0"/>
        <n v="21.0"/>
        <n v="2774.0"/>
        <n v="1892.0"/>
        <n v="1580.0"/>
        <n v="211.0"/>
        <n v="50.0"/>
        <n v="325.0"/>
        <n v="105.0"/>
        <n v="2165.0"/>
        <n v="3490.0"/>
        <n v="2760.0"/>
        <n v="247.0"/>
        <n v="829.0"/>
        <n v="817.0"/>
        <n v="352.0"/>
        <n v="128.0"/>
        <n v="1379.0"/>
        <n v="85.0"/>
        <n v="3034.0"/>
        <n v="2817.0"/>
        <n v="380.0"/>
        <n v="503.0"/>
        <n v="243.0"/>
        <n v="116.0"/>
        <n v="1030.0"/>
        <n v="195.0"/>
        <n v="2707.0"/>
        <n v="1570.0"/>
        <n v="190.0"/>
        <n v="62.0"/>
        <n v="388.0"/>
        <n v="515.0"/>
        <n v="480.0"/>
        <n v="140.0"/>
        <n v="1574.0"/>
        <n v="154.0"/>
        <n v="3729.0"/>
        <n v="1999.0"/>
        <n v="86.0"/>
        <n v="699.0"/>
        <n v="541.0"/>
        <n v="569.0"/>
        <n v="115.0"/>
        <n v="1457.0"/>
        <n v="2415.0"/>
        <n v="1747.0"/>
        <n v="800.0"/>
        <n v="187.0"/>
        <n v="403.0"/>
        <n v="155.0"/>
        <n v="136.0"/>
        <n v="77.0"/>
        <n v="2532.0"/>
        <n v="1842.0"/>
        <n v="450.0"/>
        <n v="118.0"/>
        <n v="208.0"/>
        <n v="256.0"/>
        <n v="121.0"/>
        <n v="634.0"/>
        <n v="1695.0"/>
        <n v="76.0"/>
        <n v="433.0"/>
        <n v="434.0"/>
        <n v="1471.0"/>
        <n v="2404.0"/>
        <n v="2163.0"/>
        <n v="270.0"/>
        <n v="453.0"/>
        <n v="70.0"/>
        <n v="19.0"/>
        <n v="20.0"/>
        <n v="170.0"/>
        <n v="1232.0"/>
        <n v="2032.0"/>
        <n v="2841.0"/>
        <n v="93.0"/>
        <n v="557.0"/>
        <n v="1170.0"/>
        <n v="1147.0"/>
        <n v="3174.0"/>
        <n v="2897.0"/>
        <n v="1750.0"/>
        <n v="703.0"/>
        <n v="278.0"/>
        <n v="44.0"/>
        <n v="104.0"/>
        <n v="2340.0"/>
        <n v="54.0"/>
        <n v="3182.0"/>
        <n v="151.0"/>
        <n v="591.0"/>
        <n v="197.0"/>
        <n v="1144.0"/>
        <n v="1067.0"/>
        <n v="2167.0"/>
        <n v="341.0"/>
        <n v="2688.0"/>
        <n v="66.0"/>
        <n v="1645.0"/>
        <n v="2168.0"/>
        <n v="370.0"/>
        <n v="176.0"/>
        <n v="67.0"/>
        <n v="528.0"/>
        <n v="2046.0"/>
        <n v="2533.0"/>
        <n v="1740.0"/>
        <n v="268.0"/>
        <n v="272.0"/>
        <n v="423.0"/>
        <n v="172.0"/>
        <n v="1068.0"/>
        <n v="1970.0"/>
        <n v="2538.0"/>
        <n v="525.0"/>
        <n v="232.0"/>
        <n v="305.0"/>
        <n v="142.0"/>
        <n v="760.0"/>
        <n v="366.0"/>
        <n v="1319.0"/>
        <n v="1845.0"/>
        <n v="42.0"/>
        <n v="18.0"/>
        <n v="1697.0"/>
        <n v="1616.0"/>
        <n v="1637.0"/>
        <n v="375.0"/>
        <n v="175.0"/>
        <n v="475.0"/>
        <n v="300.0"/>
        <n v="74.0"/>
        <n v="135.0"/>
        <n v="1339.0"/>
        <n v="79.0"/>
        <n v="1818.0"/>
        <n v="1132.0"/>
        <n v="1391.0"/>
        <n v="199.0"/>
        <n v="222.0"/>
        <n v="265.0"/>
        <n v="5986.0"/>
        <n v="1310.0"/>
        <n v="147.0"/>
        <n v="1819.0"/>
        <n v="1321.0"/>
        <n v="32.0"/>
        <n v="220.0"/>
        <n v="2611.0"/>
        <n v="1458.0"/>
        <n v="1118.0"/>
        <n v="1700.0"/>
        <n v="226.0"/>
        <n v="248.0"/>
        <n v="146.0"/>
        <n v="1981.0"/>
        <n v="1235.0"/>
        <n v="2138.0"/>
        <n v="75.0"/>
        <n v="123.0"/>
        <n v="2590.0"/>
        <n v="831.0"/>
        <n v="1559.0"/>
        <n v="1500.0"/>
        <n v="217.0"/>
        <n v="178.0"/>
        <n v="192.0"/>
        <n v="1009.0"/>
        <n v="334.0"/>
        <n v="1373.0"/>
        <n v="1320.0"/>
        <n v="389.0"/>
        <n v="374.0"/>
        <n v="1058.0"/>
        <n v="394.0"/>
        <n v="1417.0"/>
        <n v="1215.0"/>
        <n v="2079.0"/>
        <n v="534.0"/>
        <n v="96.0"/>
        <n v="201.0"/>
        <n v="1161.0"/>
        <n v="1579.0"/>
        <n v="1078.0"/>
        <n v="653.0"/>
        <n v="360.0"/>
        <n v="322.0"/>
        <n v="158.0"/>
        <n v="1097.0"/>
        <n v="194.0"/>
        <n v="1317.0"/>
        <n v="1250.0"/>
        <n v="191.0"/>
        <n v="2363.0"/>
        <n v="460.0"/>
        <n v="468.0"/>
        <n v="615.0"/>
        <n v="963.0"/>
        <n v="353.0"/>
        <n v="852.0"/>
        <n v="293.0"/>
        <n v="1167.0"/>
        <n v="257.0"/>
        <n v="1106.0"/>
        <n v="783.0"/>
        <n v="267.0"/>
        <n v="2150.0"/>
        <n v="1149.0"/>
        <n v="387.0"/>
        <n v="2437.0"/>
        <n v="567.0"/>
        <n v="688.0"/>
        <n v="1939.0"/>
        <n v="2705.0"/>
        <n v="2101.0"/>
        <n v="324.0"/>
        <n v="5030.0"/>
        <n v="816.0"/>
        <n v="347.0"/>
        <n v="644.0"/>
        <n v="625.0"/>
        <n v="1621.0"/>
        <n v="2098.0"/>
        <n v="393.0"/>
        <n v="10728.0"/>
        <n v="950.0"/>
        <n v="3594.0"/>
        <n v="1543.0"/>
        <n v="1156.0"/>
        <n v="1497.0"/>
        <n v="431.0"/>
        <n v="4652.0"/>
        <n v="363.0"/>
        <n v="948.0"/>
        <n v="1238.0"/>
        <n v="1826.0"/>
        <n v="2722.0"/>
        <n v="487.0"/>
        <n v="410.0"/>
        <n v="517.0"/>
        <n v="233.0"/>
        <n v="2186.0"/>
        <n v="1690.0"/>
        <n v="301.0"/>
        <n v="560.0"/>
        <n v="493.0"/>
        <n v="1204.0"/>
        <n v="1856.0"/>
        <n v="4000.0"/>
        <n v="321.0"/>
        <n v="799.0"/>
        <n v="888.0"/>
        <n v="1411.0"/>
        <n v="412.0"/>
        <n v="206.0"/>
        <n v="250.0"/>
        <n v="622.0"/>
        <n v="1422.0"/>
        <n v="650.0"/>
        <n v="291.0"/>
        <n v="152.0"/>
        <n v="444.0"/>
        <n v="514.0"/>
        <n v="21988.0"/>
        <n v="908.0"/>
        <n v="465.0"/>
        <n v="1243.0"/>
        <n v="1614.0"/>
        <n v="490.0"/>
        <n v="627.0"/>
        <n v="603.0"/>
        <n v="148.0"/>
        <n v="1025.0"/>
        <n v="345.0"/>
        <n v="2023.0"/>
        <n v="1465.0"/>
        <n v="605.0"/>
        <n v="710.0"/>
        <n v="1461.0"/>
        <n v="2096.0"/>
        <n v="219.0"/>
        <n v="2998.0"/>
        <n v="762.0"/>
        <n v="183.0"/>
        <n v="1889.0"/>
        <n v="1488.0"/>
        <n v="872.0"/>
        <n v="1176.0"/>
        <n v="531.0"/>
        <n v="2637.0"/>
        <n v="269.0"/>
        <n v="2342.0"/>
        <n v="4485.0"/>
        <n v="855.0"/>
        <n v="479.0"/>
        <n v="2195.0"/>
        <n v="2462.0"/>
        <n v="1513.0"/>
        <n v="1230.0"/>
        <n v="792.0"/>
        <n v="618.0"/>
        <n v="1251.0"/>
        <n v="498.0"/>
        <n v="2243.0"/>
        <n v="885.0"/>
        <n v="436.0"/>
        <n v="958.0"/>
        <n v="159.0"/>
        <n v="1334.0"/>
        <n v="2572.0"/>
        <n v="1075.0"/>
        <n v="536.0"/>
        <n v="6593.0"/>
        <n v="326.0"/>
        <n v="313.0"/>
        <n v="3005.0"/>
        <n v="2775.0"/>
        <n v="882.0"/>
        <n v="279.0"/>
        <n v="747.0"/>
        <n v="189.0"/>
        <n v="702.0"/>
        <n v="4041.0"/>
        <n v="471.0"/>
        <n v="9998.0"/>
        <n v="930.0"/>
        <n v="3763.0"/>
        <n v="1057.0"/>
        <n v="655.0"/>
        <n v="1034.0"/>
        <n v="240.0"/>
        <n v="2344.0"/>
        <n v="1956.0"/>
        <n v="2946.0"/>
        <n v="1968.0"/>
        <n v="5019.0"/>
        <n v="377.0"/>
        <n v="938.0"/>
        <n v="1077.0"/>
        <n v="4789.0"/>
        <n v="1906.0"/>
        <n v="1263.0"/>
        <n v="1091.0"/>
        <n v="2875.0"/>
        <n v="1646.0"/>
        <n v="447.0"/>
        <n v="720.0"/>
        <n v="1266.0"/>
        <n v="156.0"/>
        <n v="3853.0"/>
        <n v="1341.0"/>
        <n v="221.0"/>
        <n v="808.0"/>
        <n v="218.0"/>
        <n v="1165.0"/>
        <n v="94.0"/>
        <n v="1472.0"/>
        <n v="1246.0"/>
        <n v="538.0"/>
        <n v="2481.0"/>
        <n v="2035.0"/>
        <n v="1900.0"/>
        <n v="585.0"/>
        <n v="574.0"/>
        <n v="1360.0"/>
        <n v="1607.0"/>
        <n v="284.0"/>
        <n v="841.0"/>
        <n v="198.0"/>
        <n v="87.0"/>
        <n v="1095.0"/>
        <n v="2544.0"/>
        <n v="2439.0"/>
        <n v="255.0"/>
        <n v="1508.0"/>
        <n v="533.0"/>
        <n v="138.0"/>
        <n v="1399.0"/>
        <n v="3516.0"/>
        <n v="2231.0"/>
        <n v="1931.0"/>
        <n v="570.0"/>
        <n v="811.0"/>
        <n v="1724.0"/>
        <n v="2274.0"/>
        <n v="1882.0"/>
        <n v="1347.0"/>
        <n v="196.0"/>
        <n v="1672.0"/>
        <n v="1599.0"/>
        <n v="1880.0"/>
        <n v="3098.0"/>
        <n v="179.0"/>
        <n v="2143.0"/>
        <n v="2350.0"/>
        <n v="283.0"/>
        <n v="1664.0"/>
        <n v="656.0"/>
        <n v="481.0"/>
        <n v="242.0"/>
        <n v="1035.0"/>
        <n v="2606.0"/>
        <n v="1448.0"/>
        <n v="2113.0"/>
        <n v="629.0"/>
        <n v="532.0"/>
        <n v="2097.0"/>
        <n v="1904.0"/>
        <n v="1864.0"/>
        <n v="349.0"/>
        <n v="923.0"/>
        <n v="690.0"/>
        <n v="1528.0"/>
        <n v="2480.0"/>
        <n v="862.0"/>
        <n v="555.0"/>
        <n v="214.0"/>
        <n v="522.0"/>
        <n v="1962.0"/>
        <n v="1777.0"/>
        <n v="1105.0"/>
        <n v="362.0"/>
        <n v="457.0"/>
        <n v="2218.0"/>
        <n v="7479.0"/>
        <n v="298.0"/>
        <n v="1276.0"/>
        <n v="97.0"/>
        <n v="1650.0"/>
        <n v="970.0"/>
        <n v="346.0"/>
        <n v="579.0"/>
        <n v="1090.0"/>
        <n v="1182.0"/>
        <n v="1485.0"/>
        <n v="459.0"/>
        <n v="2262.0"/>
        <n v="92.0"/>
        <n v="1881.0"/>
        <n v="1060.0"/>
        <n v="400.0"/>
        <n v="2090.0"/>
        <n v="1605.0"/>
        <n v="2045.0"/>
        <n v="746.0"/>
        <n v="228.0"/>
        <n v="635.0"/>
        <n v="1178.0"/>
        <n v="437.0"/>
        <n v="495.0"/>
        <n v="109.0"/>
        <n v="1922.0"/>
        <n v="1520.0"/>
        <n v="869.0"/>
        <n v="827.0"/>
        <n v="113.0"/>
        <n v="1022.0"/>
        <n v="2880.0"/>
        <n v="409.0"/>
        <n v="1482.0"/>
        <n v="395.0"/>
        <n v="589.0"/>
        <n v="171.0"/>
        <n v="2187.0"/>
        <n v="1127.0"/>
        <n v="580.0"/>
        <n v="2107.0"/>
        <n v="1800.0"/>
        <n v="722.0"/>
        <n v="205.0"/>
        <n v="3635.0"/>
        <n v="751.0"/>
        <n v="1159.0"/>
        <n v="1349.0"/>
        <n v="1163.0"/>
        <n v="2985.0"/>
        <n v="1198.0"/>
        <n v="669.0"/>
        <n v="781.0"/>
        <n v="2451.0"/>
        <n v="937.0"/>
        <n v="1055.0"/>
        <n v="365.0"/>
        <n v="296.0"/>
        <n v="129.0"/>
        <n v="2028.0"/>
        <n v="1805.0"/>
        <n v="1552.0"/>
        <n v="1761.0"/>
        <n v="935.0"/>
        <n v="928.0"/>
        <n v="88.0"/>
        <n v="1722.0"/>
        <n v="91.0"/>
        <n v="1501.0"/>
        <n v="499.0"/>
        <n v="19414.0"/>
        <n v="11278.0"/>
        <n v="996.0"/>
        <n v="4232.0"/>
        <n v="1537.0"/>
        <n v="332.0"/>
        <n v="1203.0"/>
        <n v="718.0"/>
        <n v="961.0"/>
        <n v="111.0"/>
        <n v="1714.0"/>
        <n v="2233.0"/>
        <n v="292.0"/>
        <n v="4981.0"/>
        <n v="1387.0"/>
        <n v="944.0"/>
        <n v="1343.0"/>
        <n v="1381.0"/>
        <n v="1806.0"/>
        <n v="1844.0"/>
        <n v="630.0"/>
        <n v="2367.0"/>
        <n v="1792.0"/>
        <n v="1787.0"/>
        <n v="8696.0"/>
        <n v="1052.0"/>
        <n v="609.0"/>
        <n v="1480.0"/>
        <n v="1631.0"/>
        <n v="262.0"/>
        <n v="2000.0"/>
        <n v="2160.0"/>
        <n v="1162.0"/>
        <n v="485.0"/>
        <n v="771.0"/>
        <n v="905.0"/>
        <n v="320.0"/>
        <n v="1297.0"/>
        <n v="13284.0"/>
        <n v="1208.0"/>
        <n v="1788.0"/>
        <n v="1885.0"/>
        <n v="1278.0"/>
        <n v="1718.0"/>
        <n v="823.0"/>
        <n v="700.0"/>
        <n v="1859.0"/>
        <n v="1437.0"/>
        <n v="1296.0"/>
        <n v="3254.0"/>
        <n v="723.0"/>
        <n v="1526.0"/>
        <n v="1048.0"/>
        <n v="1960.0"/>
        <n v="3087.0"/>
        <n v="1594.0"/>
        <n v="821.0"/>
        <n v="3141.0"/>
        <n v="508.0"/>
        <n v="108.0"/>
        <n v="2628.0"/>
        <n v="1789.0"/>
        <n v="7050.0"/>
        <n v="1351.0"/>
        <n v="822.0"/>
        <n v="396.0"/>
        <n v="81.0"/>
        <n v="1708.0"/>
        <n v="946.0"/>
        <n v="1000.0"/>
        <n v="749.0"/>
        <n v="1324.0"/>
        <n v="1160.0"/>
        <n v="264.0"/>
        <n v="4544.0"/>
        <n v="745.0"/>
        <n v="367.0"/>
        <n v="1254.0"/>
        <n v="1878.0"/>
        <n v="1849.0"/>
        <n v="1734.0"/>
        <n v="277.0"/>
        <n v="788.0"/>
        <n v="795.0"/>
        <n v="473.0"/>
        <n v="4771.0"/>
        <n v="941.0"/>
        <n v="736.0"/>
        <n v="757.0"/>
        <n v="1629.0"/>
        <n v="482.0"/>
        <n v="954.0"/>
        <n v="1588.0"/>
        <n v="4287.0"/>
        <n v="2640.0"/>
        <n v="1038.0"/>
        <n v="2750.0"/>
        <n v="968.0"/>
        <n v="2052.0"/>
        <n v="2668.0"/>
        <n v="2244.0"/>
        <n v="2223.0"/>
        <n v="1122.0"/>
        <n v="3040.0"/>
        <n v="1344.0"/>
        <n v="527.0"/>
        <n v="2174.0"/>
        <n v="274.0"/>
        <n v="2382.0"/>
        <n v="1282.0"/>
        <n v="1405.0"/>
        <n v="1944.0"/>
        <n v="916.0"/>
        <n v="244.0"/>
        <n v="507.0"/>
        <n v="1168.0"/>
        <n v="1355.0"/>
        <n v="2477.0"/>
        <n v="1259.0"/>
        <n v="484.0"/>
        <n v="2333.0"/>
        <n v="673.0"/>
        <n v="848.0"/>
        <n v="582.0"/>
        <n v="402.0"/>
        <n v="584.0"/>
        <n v="806.0"/>
        <n v="511.0"/>
        <n v="828.0"/>
        <n v="1436.0"/>
        <n v="735.0"/>
        <n v="707.0"/>
        <n v="721.0"/>
        <n v="2135.0"/>
        <n v="2323.0"/>
        <n v="2084.0"/>
        <n v="1980.0"/>
        <n v="454.0"/>
        <n v="1432.0"/>
        <n v="586.0"/>
        <n v="1088.0"/>
        <n v="1272.0"/>
        <n v="1715.0"/>
        <n v="2972.0"/>
        <n v="766.0"/>
        <n v="789.0"/>
        <n v="1681.0"/>
        <n v="2170.0"/>
        <n v="426.0"/>
        <n v="3032.0"/>
        <n v="784.0"/>
        <n v="583.0"/>
        <n v="3333.0"/>
        <n v="101.0"/>
        <n v="1820.0"/>
        <n v="2476.0"/>
        <n v="1425.0"/>
        <n v="632.0"/>
        <n v="871.0"/>
        <n v="2700.0"/>
        <n v="932.0"/>
        <n v="889.0"/>
        <n v="2154.0"/>
        <n v="1460.0"/>
        <n v="1499.0"/>
        <n v="132.0"/>
        <n v="2013.0"/>
        <n v="890.0"/>
        <n v="1704.0"/>
        <n v="1012.0"/>
        <n v="1455.0"/>
        <n v="5000.0"/>
        <n v="1074.0"/>
        <n v="547.0"/>
        <n v="356.0"/>
        <n v="1018.0"/>
        <n v="1698.0"/>
        <n v="1327.0"/>
        <n v="2326.0"/>
        <n v="445.0"/>
        <n v="1766.0"/>
        <n v="1322.0"/>
        <n v="1290.0"/>
        <n v="846.0"/>
        <n v="545.0"/>
        <n v="1210.0"/>
        <n v="1184.0"/>
        <n v="1148.0"/>
        <n v="1400.0"/>
        <n v="875.0"/>
        <n v="1143.0"/>
        <n v="1133.0"/>
        <n v="223.0"/>
        <n v="3400.0"/>
        <n v="1059.0"/>
        <n v="1640.0"/>
        <n v="724.0"/>
        <n v="1323.0"/>
        <n v="494.0"/>
        <n v="3015.0"/>
        <n v="406.0"/>
        <n v="1946.0"/>
        <n v="1836.0"/>
        <n v="989.0"/>
        <n v="5650.0"/>
        <n v="791.0"/>
        <n v="510.0"/>
        <n v="14023.0"/>
        <n v="1493.0"/>
        <n v="1284.0"/>
        <n v="919.0"/>
        <n v="260.0"/>
        <n v="1032.0"/>
        <n v="119.0"/>
        <n v="1377.0"/>
        <n v="1332.0"/>
        <n v="3746.0"/>
        <n v="1774.0"/>
        <n v="4279.0"/>
        <n v="768.0"/>
        <n v="1427.0"/>
        <n v="1017.0"/>
        <n v="1380.0"/>
        <n v="452.0"/>
        <n v="1449.0"/>
        <n v="550.0"/>
        <n v="1226.0"/>
        <n v="1396.0"/>
        <n v="1389.0"/>
        <n v="1780.0"/>
        <n v="554.0"/>
        <n v="3625.0"/>
        <n v="64.0"/>
        <n v="2378.0"/>
        <n v="1643.0"/>
        <n v="6409.0"/>
        <n v="861.0"/>
        <n v="1087.0"/>
        <n v="2300.0"/>
        <n v="1439.0"/>
        <n v="1280.0"/>
        <n v="2176.0"/>
        <n v="2226.0"/>
        <n v="6570.0"/>
        <n v="667.0"/>
        <n v="1342.0"/>
        <n v="1706.0"/>
        <n v="5100.0"/>
        <n v="922.0"/>
        <n v="504.0"/>
        <n v="563.0"/>
        <n v="1571.0"/>
        <n v="2397.0"/>
        <n v="1115.0"/>
        <n v="1064.0"/>
        <n v="2384.0"/>
        <n v="1776.0"/>
        <n v="1730.0"/>
        <n v="727.0"/>
        <n v="664.0"/>
        <n v="19706.0"/>
        <n v="864.0"/>
        <n v="1778.0"/>
        <n v="1592.0"/>
        <n v="258.0"/>
        <n v="2782.0"/>
        <n v="873.0"/>
        <n v="936.0"/>
        <s v="TBD"/>
        <n v="7140.0"/>
        <n v="1992.0"/>
        <n v="1252.0"/>
        <n v="2173.0"/>
        <n v="1265.0"/>
        <n v="2600.0"/>
        <n v="854.0"/>
        <n v="549.0"/>
        <n v="1852.0"/>
        <n v="976.0"/>
        <n v="141.0"/>
        <n v="4474.0"/>
        <n v="719.0"/>
        <n v="2667.0"/>
        <n v="2650.0"/>
        <n v="1371.0"/>
        <n v="677.0"/>
        <n v="1010.0"/>
        <n v="1153.0"/>
        <n v="1092.0"/>
        <n v="769.0"/>
        <n v="983.0"/>
        <n v="4795.0"/>
        <n v="815.0"/>
        <n v="117.0"/>
        <n v="1301.0"/>
        <n v="840.0"/>
        <n v="1597.0"/>
        <n v="796.0"/>
        <n v="1270.0"/>
        <n v="2618.0"/>
        <n v="601.0"/>
        <n v="1100.0"/>
        <n v="1503.0"/>
        <n v="907.0"/>
        <n v="3278.0"/>
        <n v="884.0"/>
        <n v="2053.0"/>
        <n v="878.0"/>
        <n v="5518.0"/>
        <n v="1647.0"/>
        <n v="839.0"/>
        <n v="628.0"/>
        <n v="153.0"/>
        <n v="418.0"/>
        <n v="1556.0"/>
        <n v="2103.0"/>
        <n v="993.0"/>
        <n v="1450.0"/>
        <n v="1123.0"/>
        <n v="915.0"/>
        <n v="398.0"/>
        <n v="2050.0"/>
        <n v="744.0"/>
        <n v="2396.0"/>
        <n v="2607.0"/>
        <n v="853.0"/>
        <n v="599.0"/>
        <n v="2520.0"/>
        <n v="2316.0"/>
        <n v="726.0"/>
        <n v="921.0"/>
        <n v="631.0"/>
        <n v="1783.0"/>
        <n v="1403.0"/>
        <n v="4610.0"/>
        <n v="1066.0"/>
        <n v="901.0"/>
        <n v="832.0"/>
        <n v="2767.0"/>
        <n v="1188.0"/>
        <n v="2059.0"/>
        <n v="689.0"/>
        <n v="1221.0"/>
        <n v="134.0"/>
        <n v="2964.0"/>
        <n v="1186.0"/>
        <n v="4259.0"/>
        <n v="1047.0"/>
        <n v="203.0"/>
        <n v="2442.0"/>
      </sharedItems>
    </cacheField>
    <cacheField name="WeekOfYear" numFmtId="0">
      <sharedItems containsSemiMixedTypes="0" containsString="0" containsNumber="1" containsInteger="1">
        <n v="17.0"/>
        <n v="18.0"/>
        <n v="19.0"/>
        <n v="20.0"/>
        <n v="21.0"/>
        <n v="22.0"/>
        <n v="23.0"/>
        <n v="24.0"/>
        <n v="25.0"/>
        <n v="26.0"/>
        <n v="27.0"/>
        <n v="28.0"/>
        <n v="29.0"/>
        <n v="30.0"/>
        <n v="31.0"/>
        <n v="32.0"/>
        <n v="33.0"/>
        <n v="34.0"/>
        <n v="35.0"/>
        <n v="36.0"/>
        <n v="37.0"/>
        <n v="38.0"/>
        <n v="39.0"/>
        <n v="40.0"/>
        <n v="41.0"/>
        <n v="42.0"/>
        <n v="43.0"/>
        <n v="44.0"/>
        <n v="45.0"/>
        <n v="46.0"/>
        <n v="47.0"/>
        <n v="48.0"/>
        <n v="49.0"/>
        <n v="50.0"/>
        <n v="51.0"/>
        <n v="52.0"/>
        <n v="53.0"/>
        <n v="2.0"/>
        <n v="3.0"/>
        <n v="4.0"/>
        <n v="5.0"/>
        <n v="6.0"/>
        <n v="7.0"/>
        <n v="8.0"/>
        <n v="9.0"/>
        <n v="10.0"/>
        <n v="11.0"/>
        <n v="12.0"/>
        <n v="13.0"/>
        <n v="14.0"/>
        <n v="15.0"/>
        <n v="16.0"/>
        <n v="1.0"/>
      </sharedItems>
    </cacheField>
    <cacheField name="WeekOfProgram"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90.0"/>
        <n v="92.0"/>
        <n v="93.0"/>
        <n v="94.0"/>
        <n v="95.0"/>
        <n v="96.0"/>
        <n v="97.0"/>
        <n v="98.0"/>
        <n v="99.0"/>
        <n v="100.0"/>
        <n v="101.0"/>
        <n v="102.0"/>
        <n v="103.0"/>
        <n v="104.0"/>
        <n v="105.0"/>
        <n v="106.0"/>
        <n v="107.0"/>
        <n v="108.0"/>
        <n v="109.0"/>
        <n v="110.0"/>
        <n v="111.0"/>
        <n v="113.0"/>
        <n v="114.0"/>
        <n v="115.0"/>
        <n v="116.0"/>
        <n v="117.0"/>
        <n v="118.0"/>
        <n v="119.0"/>
        <n v="120.0"/>
        <n v="121.0"/>
        <n v="122.0"/>
        <n v="123.0"/>
        <n v="124.0"/>
        <n v="125.0"/>
        <n v="126.0"/>
        <n v="127.0"/>
        <n v="128.0"/>
        <n v="129.0"/>
        <n v="130.0"/>
        <n v="131.0"/>
        <n v="132.0"/>
        <n v="133.0"/>
        <n v="134.0"/>
        <n v="135.0"/>
        <n v="136.0"/>
        <n v="137.0"/>
        <n v="139.0"/>
        <n v="140.0"/>
        <n v="141.0"/>
        <n v="142.0"/>
        <n v="143.0"/>
        <n v="144.0"/>
        <n v="145.0"/>
        <n v="146.0"/>
        <n v="147.0"/>
        <n v="148.0"/>
        <n v="149.0"/>
        <n v="150.0"/>
        <n v="151.0"/>
        <n v="152.0"/>
        <n v="153.0"/>
        <n v="155.0"/>
        <n v="156.0"/>
        <n v="157.0"/>
        <n v="158.0"/>
        <n v="159.0"/>
        <n v="160.0"/>
        <n v="161.0"/>
        <n v="162.0"/>
        <n v="163.0"/>
        <n v="164.0"/>
        <n v="165.0"/>
        <n v="166.0"/>
        <n v="167.0"/>
        <n v="168.0"/>
        <n v="169.0"/>
        <n v="171.0"/>
        <n v="172.0"/>
        <n v="173.0"/>
        <n v="174.0"/>
        <n v="175.0"/>
        <n v="176.0"/>
        <n v="177.0"/>
        <n v="178.0"/>
        <n v="179.0"/>
        <n v="180.0"/>
        <n v="181.0"/>
        <n v="182.0"/>
        <n v="183.0"/>
        <n v="184.0"/>
        <n v="185.0"/>
        <n v="186.0"/>
        <n v="187.0"/>
        <n v="188.0"/>
        <n v="189.0"/>
        <n v="191.0"/>
        <n v="192.0"/>
        <n v="193.0"/>
        <n v="194.0"/>
        <n v="197.0"/>
        <n v="198.0"/>
        <n v="199.0"/>
        <n v="200.0"/>
        <n v="201.0"/>
        <n v="202.0"/>
        <n v="203.0"/>
        <n v="204.0"/>
        <n v="205.0"/>
        <n v="206.0"/>
        <n v="207.0"/>
        <n v="208.0"/>
        <n v="210.0"/>
        <n v="211.0"/>
        <n v="212.0"/>
        <n v="213.0"/>
        <n v="214.0"/>
        <n v="215.0"/>
        <n v="216.0"/>
        <n v="217.0"/>
        <n v="218.0"/>
        <n v="219.0"/>
        <n v="220.0"/>
        <n v="221.0"/>
        <n v="222.0"/>
        <n v="224.0"/>
        <n v="225.0"/>
        <n v="226.0"/>
        <n v="227.0"/>
        <n v="228.0"/>
        <n v="229.0"/>
        <n v="230.0"/>
        <n v="231.0"/>
        <n v="232.0"/>
        <n v="233.0"/>
        <n v="234.0"/>
        <n v="235.0"/>
        <n v="236.0"/>
        <n v="237.0"/>
        <n v="238.0"/>
        <n v="239.0"/>
        <n v="240.0"/>
        <n v="241.0"/>
        <n v="242.0"/>
        <n v="243.0"/>
        <n v="244.0"/>
        <n v="245.0"/>
        <n v="246.0"/>
        <n v="247.0"/>
        <n v="248.0"/>
        <n v="250.0"/>
        <n v="251.0"/>
        <n v="252.0"/>
        <n v="253.0"/>
        <n v="254.0"/>
        <n v="255.0"/>
        <n v="256.0"/>
        <n v="257.0"/>
        <n v="258.0"/>
        <n v="259.0"/>
        <n v="260.0"/>
        <n v="261.0"/>
        <n v="262.0"/>
        <n v="263.0"/>
        <n v="264.0"/>
        <n v="265.0"/>
        <n v="266.0"/>
        <n v="267.0"/>
        <n v="268.0"/>
        <n v="269.0"/>
        <n v="270.0"/>
        <n v="271.0"/>
        <n v="272.0"/>
        <n v="273.0"/>
        <n v="274.0"/>
      </sharedItems>
    </cacheField>
    <cacheField name="Year" numFmtId="0">
      <sharedItems containsSemiMixedTypes="0" containsString="0" containsNumber="1" containsInteger="1">
        <n v="2020.0"/>
        <n v="2021.0"/>
        <n v="2022.0"/>
        <n v="2023.0"/>
        <n v="2024.0"/>
        <n v="202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ByLocation" cacheId="0" dataCaption="" compact="0" compactData="0">
  <location ref="A1:U277" firstHeaderRow="0" firstDataRow="2" firstDataCol="1"/>
  <pivotFields>
    <pivotField name="Date" axis="axisRow" compact="0" numFmtId="164" outline="0" multipleItemSelectionAllowed="1" showAll="0" sortType="ascending">
      <items>
        <item x="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4"/>
        <item t="default"/>
      </items>
    </pivotField>
    <pivotField name="Location" axis="axisCol" compact="0" outline="0" multipleItemSelectionAllowed="1" showAll="0" sortType="ascending">
      <items>
        <item h="1" x="18"/>
        <item x="1"/>
        <item x="17"/>
        <item x="7"/>
        <item x="2"/>
        <item x="3"/>
        <item x="15"/>
        <item x="16"/>
        <item x="0"/>
        <item x="10"/>
        <item x="4"/>
        <item x="8"/>
        <item x="14"/>
        <item x="12"/>
        <item x="13"/>
        <item x="5"/>
        <item x="11"/>
        <item x="6"/>
        <item x="9"/>
        <item t="default"/>
      </items>
    </pivotField>
    <pivotField name="Sandwich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t="default"/>
      </items>
    </pivotField>
    <pivotField name="WeekOf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Week Number" axis="axisRow" compact="0" outline="0" multipleItemSelectionAllowed="1" showAll="0" sortType="ascending" defaultSubtotal="0">
      <items>
        <item x="2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8"/>
      </items>
    </pivotField>
    <pivotField name="Year" compact="0" outline="0" multipleItemSelectionAllowed="1" showAll="0">
      <items>
        <item x="0"/>
        <item x="1"/>
        <item x="2"/>
        <item x="3"/>
        <item x="4"/>
        <item x="5"/>
        <item x="6"/>
        <item x="7"/>
        <item t="default"/>
      </items>
    </pivotField>
    <pivotField name="Column 1" compact="0" outline="0" multipleItemSelectionAllowed="1" showAll="0">
      <items>
        <item x="0"/>
        <item x="1"/>
        <item t="default"/>
      </items>
    </pivotField>
  </pivotFields>
  <rowFields>
    <field x="4"/>
    <field x="0"/>
  </rowFields>
  <colFields>
    <field x="1"/>
  </colFields>
  <dataFields>
    <dataField name="Sandwich Totals" fld="2" baseField="0"/>
  </dataFields>
</pivotTableDefinition>
</file>

<file path=xl/pivotTables/pivotTable2.xml><?xml version="1.0" encoding="utf-8"?>
<pivotTableDefinition xmlns="http://schemas.openxmlformats.org/spreadsheetml/2006/main" name="ByWeekofYear" cacheId="1" dataCaption="" compact="0" compactData="0">
  <location ref="A1:K57" firstHeaderRow="0" firstDataRow="2" firstDataCol="1"/>
  <pivotFields>
    <pivotField name="Year" axis="axisCol" compact="0" numFmtId="164" outline="0" multipleItemSelectionAllowed="1" showAll="0" sortType="ascending">
      <items>
        <item x="0"/>
        <item x="1"/>
        <item x="2"/>
        <item x="3"/>
        <item x="4"/>
        <item x="5"/>
        <item x="6"/>
        <item x="7"/>
        <item x="8"/>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Sandwich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t="default"/>
      </items>
    </pivotField>
    <pivotField name="WeekOfYear" axis="axisRow" compact="0" outline="0" multipleItemSelectionAllowed="1" showAll="0" sortType="ascending">
      <items>
        <item x="53"/>
        <item sd="0" x="52"/>
        <item sd="0" x="37"/>
        <item sd="0" x="38"/>
        <item sd="0" x="39"/>
        <item x="40"/>
        <item x="41"/>
        <item sd="0" x="42"/>
        <item sd="0" x="43"/>
        <item x="44"/>
        <item sd="0" x="45"/>
        <item sd="0" x="46"/>
        <item x="47"/>
        <item sd="0" x="48"/>
        <item sd="0" x="49"/>
        <item x="50"/>
        <item sd="0" x="51"/>
        <item sd="0" x="0"/>
        <item x="1"/>
        <item x="2"/>
        <item x="3"/>
        <item x="4"/>
        <item sd="0" x="5"/>
        <item sd="0" x="6"/>
        <item sd="0" x="7"/>
        <item sd="0" x="8"/>
        <item sd="0" x="9"/>
        <item sd="0" x="10"/>
        <item sd="0" x="11"/>
        <item sd="0" x="12"/>
        <item sd="0" x="13"/>
        <item sd="0" x="14"/>
        <item sd="0" x="15"/>
        <item sd="0" x="16"/>
        <item sd="0" x="17"/>
        <item sd="0" x="18"/>
        <item sd="0" x="19"/>
        <item sd="0" x="20"/>
        <item sd="0" x="21"/>
        <item sd="0" x="22"/>
        <item sd="0" x="23"/>
        <item sd="0" x="24"/>
        <item x="25"/>
        <item x="26"/>
        <item x="27"/>
        <item x="28"/>
        <item x="29"/>
        <item sd="0" x="30"/>
        <item sd="0" x="31"/>
        <item sd="0" x="32"/>
        <item x="33"/>
        <item sd="0" x="34"/>
        <item sd="0" x="35"/>
        <item sd="0" x="36"/>
        <item t="default"/>
      </items>
    </pivotField>
    <pivotField name="WeekOfProgr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Year" compact="0" outline="0" multipleItemSelectionAllowed="1" showAll="0">
      <items>
        <item x="0"/>
        <item x="1"/>
        <item x="2"/>
        <item x="3"/>
        <item x="4"/>
        <item x="5"/>
        <item x="6"/>
        <item x="7"/>
        <item t="default"/>
      </items>
    </pivotField>
    <pivotField name="Column 1" compact="0" outline="0" multipleItemSelectionAllowed="1" showAll="0">
      <items>
        <item x="0"/>
        <item x="1"/>
        <item t="default"/>
      </items>
    </pivotField>
  </pivotFields>
  <rowFields>
    <field x="3"/>
    <field x="0"/>
  </rowFields>
  <colFields>
    <field x="0"/>
  </colFields>
  <dataFields>
    <dataField name="Sandwiches" fld="2" baseField="0"/>
  </dataFields>
</pivotTableDefinition>
</file>

<file path=xl/pivotTables/pivotTable3.xml><?xml version="1.0" encoding="utf-8"?>
<pivotTableDefinition xmlns="http://schemas.openxmlformats.org/spreadsheetml/2006/main" name="Dashboard" cacheId="0" dataCaption="" colGrandTotals="0" compact="0" compactData="0">
  <location ref="H27:J80"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t="default"/>
      </items>
    </pivotField>
    <pivotField name="Sandwich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t="default"/>
      </items>
    </pivotField>
    <pivotField name="WeekOfYear" axis="axisRow" compact="0" outline="0" multipleItemSelectionAllowed="1" showAll="0" sortType="ascending">
      <items>
        <item x="53"/>
        <item x="52"/>
        <item x="37"/>
        <item x="38"/>
        <item x="39"/>
        <item x="40"/>
        <item x="41"/>
        <item x="42"/>
        <item x="43"/>
        <item x="44"/>
        <item x="45"/>
        <item x="46"/>
        <item x="47"/>
        <item x="48"/>
        <item x="49"/>
        <item x="50"/>
        <item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WeekOfProgr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Year" axis="axisCol" compact="0" outline="0" multipleItemSelectionAllowed="1" showAll="0" sortType="ascending">
      <items>
        <item h="1" x="6"/>
        <item h="1" x="0"/>
        <item h="1" x="1"/>
        <item h="1" x="2"/>
        <item h="1" x="3"/>
        <item x="4"/>
        <item x="5"/>
        <item h="1" x="7"/>
        <item t="default"/>
      </items>
    </pivotField>
    <pivotField name="Column 1" compact="0" outline="0" multipleItemSelectionAllowed="1" showAll="0">
      <items>
        <item x="0"/>
        <item x="1"/>
        <item t="default"/>
      </items>
    </pivotField>
  </pivotFields>
  <rowFields>
    <field x="3"/>
  </rowFields>
  <colFields>
    <field x="5"/>
  </colFields>
  <dataFields>
    <dataField name="Sandwiches" fld="2" baseField="0"/>
  </dataFields>
</pivotTableDefinition>
</file>

<file path=xl/pivotTables/pivotTable4.xml><?xml version="1.0" encoding="utf-8"?>
<pivotTableDefinition xmlns="http://schemas.openxmlformats.org/spreadsheetml/2006/main" name="Dashboard 2" cacheId="2" dataCaption="" colGrandTotals="0" compact="0" compactData="0">
  <location ref="Q27:S39" firstHeaderRow="0" firstDataRow="2"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Location" axis="axisRow" compact="0" outline="0" multipleItemSelectionAllowed="1" showAll="0" sortType="de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Sandwich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t="default"/>
      </items>
    </pivotField>
    <pivotField name="WeekOf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WeekOfProgr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Year" axis="axisCol" compact="0" outline="0" multipleItemSelectionAllowed="1" showAll="0" sortType="ascending">
      <items>
        <item h="1" x="0"/>
        <item h="1" x="1"/>
        <item h="1" x="2"/>
        <item h="1" x="3"/>
        <item h="1" x="4"/>
        <item x="5"/>
        <item t="default"/>
      </items>
    </pivotField>
  </pivotFields>
  <rowFields>
    <field x="1"/>
  </rowFields>
  <colFields>
    <field x="5"/>
    <field x="-2"/>
  </colFields>
  <dataFields>
    <dataField name="Sandwiches" fld="2" baseField="0"/>
    <dataField name="% of Year Total" fld="2" showDataAs="percentOfCol" baseField="0" numFmtId="10"/>
  </dataFields>
</pivotTableDefinition>
</file>

<file path=xl/tables/table1.xml><?xml version="1.0" encoding="utf-8"?>
<table xmlns="http://schemas.openxmlformats.org/spreadsheetml/2006/main" headerRowCount="0" ref="B3:U277"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ByLocation-style" showColumnStripes="0" showFirstColumn="1" showLastColumn="1" showRowStripes="1"/>
</table>
</file>

<file path=xl/tables/table2.xml><?xml version="1.0" encoding="utf-8"?>
<table xmlns="http://schemas.openxmlformats.org/spreadsheetml/2006/main" ref="A1:G8" displayName="Table_2" name="Table_2" id="2">
  <tableColumns count="7">
    <tableColumn name="Date" id="1"/>
    <tableColumn name="Location" id="2"/>
    <tableColumn name="Sandwiches" id="3"/>
    <tableColumn name="WeekOfYear" id="4"/>
    <tableColumn name="WeekOfProgram" id="5"/>
    <tableColumn name="Year" id="6"/>
    <tableColumn name="Column 1" id="7"/>
  </tableColumns>
  <tableStyleInfo name="Detail18-275-6262025-style" showColumnStripes="0" showFirstColumn="1" showLastColumn="1" showRowStripes="1"/>
</table>
</file>

<file path=xl/tables/table3.xml><?xml version="1.0" encoding="utf-8"?>
<table xmlns="http://schemas.openxmlformats.org/spreadsheetml/2006/main" ref="A1:G2" displayName="Table_3" name="Table_3" id="3">
  <tableColumns count="7">
    <tableColumn name="Date" id="1"/>
    <tableColumn name="Location" id="2"/>
    <tableColumn name="Sandwiches" id="3"/>
    <tableColumn name="WeekOfYear" id="4"/>
    <tableColumn name="WeekOfProgram" id="5"/>
    <tableColumn name="Year" id="6"/>
    <tableColumn name="Column 1" id="7"/>
  </tableColumns>
  <tableStyleInfo name="Detail17-111-5182022-GROUPS-style" showColumnStripes="0" showFirstColumn="1" showLastColumn="1" showRowStripes="1"/>
</table>
</file>

<file path=xl/tables/table4.xml><?xml version="1.0" encoding="utf-8"?>
<table xmlns="http://schemas.openxmlformats.org/spreadsheetml/2006/main" headerRowCount="0" ref="M4:S5" displayName="Table_4" name="Table_4" id="4">
  <tableColumns count="7">
    <tableColumn name="Column1" id="1"/>
    <tableColumn name="Column2" id="2"/>
    <tableColumn name="Column3" id="3"/>
    <tableColumn name="Column4" id="4"/>
    <tableColumn name="Column5" id="5"/>
    <tableColumn name="Column6" id="6"/>
    <tableColumn name="Column7" id="7"/>
  </tableColumns>
  <tableStyleInfo name="ByWeekofYear-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M9:S23"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ByWeekofYear-style 2"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T9:T23" displayName="Table_6" name="Table_6" id="6">
  <tableColumns count="1">
    <tableColumn name="Column1" id="1"/>
  </tableColumns>
  <tableStyleInfo name="ByWeekofYear-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3" max="3" width="14.67"/>
  </cols>
  <sheetData>
    <row r="2">
      <c r="B2" s="1" t="s">
        <v>0</v>
      </c>
    </row>
    <row r="4">
      <c r="B4" s="1" t="s">
        <v>1</v>
      </c>
    </row>
    <row r="5">
      <c r="B5" s="1">
        <v>1.0</v>
      </c>
      <c r="C5" s="2" t="s">
        <v>2</v>
      </c>
      <c r="D5" s="1" t="s">
        <v>3</v>
      </c>
    </row>
    <row r="6">
      <c r="B6" s="1">
        <v>2.0</v>
      </c>
      <c r="C6" s="2" t="s">
        <v>4</v>
      </c>
      <c r="D6" s="1" t="s">
        <v>5</v>
      </c>
    </row>
    <row r="7">
      <c r="D7" s="1" t="s">
        <v>6</v>
      </c>
    </row>
    <row r="8">
      <c r="E8" s="1" t="s">
        <v>7</v>
      </c>
    </row>
    <row r="9">
      <c r="E9" s="1" t="s">
        <v>8</v>
      </c>
    </row>
    <row r="10">
      <c r="E10" s="1" t="s">
        <v>9</v>
      </c>
    </row>
    <row r="11">
      <c r="E11" s="1" t="s">
        <v>10</v>
      </c>
    </row>
    <row r="12">
      <c r="B12" s="1">
        <v>3.0</v>
      </c>
      <c r="C12" s="2" t="s">
        <v>11</v>
      </c>
      <c r="D12" s="1" t="s">
        <v>12</v>
      </c>
    </row>
    <row r="13">
      <c r="D13" s="1" t="s">
        <v>13</v>
      </c>
    </row>
    <row r="14">
      <c r="B14" s="1"/>
      <c r="C14" s="1"/>
      <c r="D14" s="1" t="s">
        <v>14</v>
      </c>
    </row>
    <row r="15">
      <c r="B15" s="1">
        <v>4.0</v>
      </c>
      <c r="C15" s="2" t="s">
        <v>15</v>
      </c>
      <c r="D15" s="1" t="s">
        <v>16</v>
      </c>
    </row>
    <row r="16">
      <c r="D16" s="1" t="s">
        <v>17</v>
      </c>
    </row>
    <row r="17">
      <c r="D17" s="1" t="s">
        <v>18</v>
      </c>
    </row>
    <row r="18">
      <c r="D18" s="1" t="s">
        <v>19</v>
      </c>
    </row>
    <row r="19">
      <c r="E19" s="1" t="s">
        <v>20</v>
      </c>
    </row>
    <row r="20">
      <c r="D20" s="1" t="s">
        <v>21</v>
      </c>
    </row>
    <row r="21">
      <c r="B21" s="2">
        <v>5.0</v>
      </c>
      <c r="C21" s="2" t="s">
        <v>22</v>
      </c>
      <c r="D21" s="1" t="s">
        <v>23</v>
      </c>
    </row>
    <row r="23">
      <c r="B23" s="1" t="s">
        <v>24</v>
      </c>
    </row>
    <row r="24">
      <c r="C24" s="1" t="s">
        <v>25</v>
      </c>
      <c r="F24" s="1"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75"/>
  <cols>
    <col customWidth="1" min="2" max="2" width="35.11"/>
    <col customWidth="1" min="3" max="3" width="13.22"/>
    <col customWidth="1" hidden="1" min="4" max="4" width="13.0"/>
    <col hidden="1" min="5" max="6" width="11.22"/>
  </cols>
  <sheetData>
    <row r="1">
      <c r="A1" s="3" t="s">
        <v>27</v>
      </c>
      <c r="B1" s="3" t="s">
        <v>28</v>
      </c>
      <c r="C1" s="4" t="s">
        <v>29</v>
      </c>
      <c r="D1" s="5" t="s">
        <v>30</v>
      </c>
      <c r="E1" s="5" t="s">
        <v>31</v>
      </c>
      <c r="F1" s="6" t="s">
        <v>32</v>
      </c>
      <c r="G1" s="6" t="s">
        <v>33</v>
      </c>
    </row>
    <row r="2">
      <c r="A2" s="7">
        <v>43943.0</v>
      </c>
      <c r="B2" s="8" t="s">
        <v>34</v>
      </c>
      <c r="C2" s="9">
        <v>317.0</v>
      </c>
      <c r="D2" s="10">
        <f t="array" ref="D2:D3663">IF(A2:A3663 = "" , , WEEKNUM(A2:A3663) )</f>
        <v>17</v>
      </c>
      <c r="E2" s="10">
        <f t="array" ref="E2:E3663">IF(A2:A3663 = "" , , WEEKNUM(A2:A3663)-16 + (YEAR(A2:A3663)-2020) * 53  )</f>
        <v>1</v>
      </c>
      <c r="F2" s="10">
        <f t="array" ref="F2:F3663">IF(A2:A3663 = "" , , YEAR(A2:A3663) )</f>
        <v>2020</v>
      </c>
      <c r="G2" s="10"/>
    </row>
    <row r="3">
      <c r="A3" s="7">
        <v>43950.0</v>
      </c>
      <c r="B3" s="8" t="s">
        <v>34</v>
      </c>
      <c r="C3" s="9">
        <v>530.0</v>
      </c>
      <c r="D3" s="10">
        <v>18.0</v>
      </c>
      <c r="E3" s="10">
        <v>2.0</v>
      </c>
      <c r="F3" s="10">
        <v>2020.0</v>
      </c>
      <c r="G3" s="10"/>
    </row>
    <row r="4">
      <c r="A4" s="7">
        <v>43957.0</v>
      </c>
      <c r="B4" s="8" t="s">
        <v>34</v>
      </c>
      <c r="C4" s="9">
        <v>290.0</v>
      </c>
      <c r="D4" s="10">
        <v>19.0</v>
      </c>
      <c r="E4" s="10">
        <v>3.0</v>
      </c>
      <c r="F4" s="10">
        <v>2020.0</v>
      </c>
      <c r="G4" s="10"/>
    </row>
    <row r="5">
      <c r="A5" s="7">
        <v>43964.0</v>
      </c>
      <c r="B5" s="8" t="s">
        <v>34</v>
      </c>
      <c r="C5" s="9">
        <v>430.0</v>
      </c>
      <c r="D5" s="10">
        <v>20.0</v>
      </c>
      <c r="E5" s="10">
        <v>4.0</v>
      </c>
      <c r="F5" s="10">
        <v>2020.0</v>
      </c>
      <c r="G5" s="10"/>
    </row>
    <row r="6">
      <c r="A6" s="7">
        <v>43971.0</v>
      </c>
      <c r="B6" s="8" t="s">
        <v>34</v>
      </c>
      <c r="C6" s="9">
        <v>581.0</v>
      </c>
      <c r="D6" s="10">
        <v>21.0</v>
      </c>
      <c r="E6" s="10">
        <v>5.0</v>
      </c>
      <c r="F6" s="10">
        <v>2020.0</v>
      </c>
      <c r="G6" s="10"/>
    </row>
    <row r="7">
      <c r="A7" s="7">
        <v>43978.0</v>
      </c>
      <c r="B7" s="8" t="s">
        <v>34</v>
      </c>
      <c r="C7" s="9">
        <v>432.0</v>
      </c>
      <c r="D7" s="10">
        <v>22.0</v>
      </c>
      <c r="E7" s="10">
        <v>6.0</v>
      </c>
      <c r="F7" s="10">
        <v>2020.0</v>
      </c>
      <c r="G7" s="10"/>
    </row>
    <row r="8">
      <c r="A8" s="7">
        <v>43985.0</v>
      </c>
      <c r="B8" s="8" t="s">
        <v>34</v>
      </c>
      <c r="C8" s="9">
        <v>780.0</v>
      </c>
      <c r="D8" s="10">
        <v>23.0</v>
      </c>
      <c r="E8" s="10">
        <v>7.0</v>
      </c>
      <c r="F8" s="10">
        <v>2020.0</v>
      </c>
      <c r="G8" s="10"/>
    </row>
    <row r="9">
      <c r="A9" s="7">
        <v>43992.0</v>
      </c>
      <c r="B9" s="8" t="s">
        <v>34</v>
      </c>
      <c r="C9" s="9">
        <v>939.0</v>
      </c>
      <c r="D9" s="10">
        <v>24.0</v>
      </c>
      <c r="E9" s="10">
        <v>8.0</v>
      </c>
      <c r="F9" s="10">
        <v>2020.0</v>
      </c>
      <c r="G9" s="10"/>
    </row>
    <row r="10">
      <c r="A10" s="7">
        <v>43999.0</v>
      </c>
      <c r="B10" s="8" t="s">
        <v>34</v>
      </c>
      <c r="C10" s="9">
        <v>995.0</v>
      </c>
      <c r="D10" s="10">
        <v>25.0</v>
      </c>
      <c r="E10" s="10">
        <v>9.0</v>
      </c>
      <c r="F10" s="10">
        <v>2020.0</v>
      </c>
      <c r="G10" s="10"/>
    </row>
    <row r="11">
      <c r="A11" s="7">
        <v>44006.0</v>
      </c>
      <c r="B11" s="8" t="s">
        <v>34</v>
      </c>
      <c r="C11" s="11">
        <v>1177.0</v>
      </c>
      <c r="D11" s="10">
        <v>26.0</v>
      </c>
      <c r="E11" s="10">
        <v>10.0</v>
      </c>
      <c r="F11" s="10">
        <v>2020.0</v>
      </c>
      <c r="G11" s="10"/>
    </row>
    <row r="12">
      <c r="A12" s="7">
        <v>44013.0</v>
      </c>
      <c r="B12" s="8" t="s">
        <v>34</v>
      </c>
      <c r="C12" s="9">
        <v>626.0</v>
      </c>
      <c r="D12" s="10">
        <v>27.0</v>
      </c>
      <c r="E12" s="10">
        <v>11.0</v>
      </c>
      <c r="F12" s="10">
        <v>2020.0</v>
      </c>
      <c r="G12" s="10"/>
    </row>
    <row r="13">
      <c r="A13" s="7">
        <v>44020.0</v>
      </c>
      <c r="B13" s="8" t="s">
        <v>34</v>
      </c>
      <c r="C13" s="9">
        <v>866.0</v>
      </c>
      <c r="D13" s="10">
        <v>28.0</v>
      </c>
      <c r="E13" s="10">
        <v>12.0</v>
      </c>
      <c r="F13" s="10">
        <v>2020.0</v>
      </c>
      <c r="G13" s="10"/>
    </row>
    <row r="14">
      <c r="A14" s="7">
        <v>44027.0</v>
      </c>
      <c r="B14" s="8" t="s">
        <v>34</v>
      </c>
      <c r="C14" s="11">
        <v>1231.0</v>
      </c>
      <c r="D14" s="10">
        <v>29.0</v>
      </c>
      <c r="E14" s="10">
        <v>13.0</v>
      </c>
      <c r="F14" s="10">
        <v>2020.0</v>
      </c>
      <c r="G14" s="10"/>
    </row>
    <row r="15">
      <c r="A15" s="7">
        <v>44034.0</v>
      </c>
      <c r="B15" s="8" t="s">
        <v>34</v>
      </c>
      <c r="C15" s="11">
        <v>1195.0</v>
      </c>
      <c r="D15" s="10">
        <v>30.0</v>
      </c>
      <c r="E15" s="10">
        <v>14.0</v>
      </c>
      <c r="F15" s="10">
        <v>2020.0</v>
      </c>
      <c r="G15" s="10"/>
    </row>
    <row r="16">
      <c r="A16" s="7">
        <v>44041.0</v>
      </c>
      <c r="B16" s="8" t="s">
        <v>34</v>
      </c>
      <c r="C16" s="9">
        <v>991.0</v>
      </c>
      <c r="D16" s="10">
        <v>31.0</v>
      </c>
      <c r="E16" s="10">
        <v>15.0</v>
      </c>
      <c r="F16" s="10">
        <v>2020.0</v>
      </c>
      <c r="G16" s="10"/>
    </row>
    <row r="17">
      <c r="A17" s="7">
        <v>44048.0</v>
      </c>
      <c r="B17" s="8" t="s">
        <v>34</v>
      </c>
      <c r="C17" s="9">
        <v>953.0</v>
      </c>
      <c r="D17" s="10">
        <v>32.0</v>
      </c>
      <c r="E17" s="10">
        <v>16.0</v>
      </c>
      <c r="F17" s="10">
        <v>2020.0</v>
      </c>
      <c r="G17" s="10"/>
    </row>
    <row r="18">
      <c r="A18" s="7">
        <v>44055.0</v>
      </c>
      <c r="B18" s="8" t="s">
        <v>34</v>
      </c>
      <c r="C18" s="9">
        <v>752.0</v>
      </c>
      <c r="D18" s="10">
        <v>33.0</v>
      </c>
      <c r="E18" s="10">
        <v>17.0</v>
      </c>
      <c r="F18" s="10">
        <v>2020.0</v>
      </c>
      <c r="G18" s="10"/>
    </row>
    <row r="19">
      <c r="A19" s="7">
        <v>44062.0</v>
      </c>
      <c r="B19" s="8" t="s">
        <v>34</v>
      </c>
      <c r="C19" s="11">
        <v>1114.0</v>
      </c>
      <c r="D19" s="10">
        <v>34.0</v>
      </c>
      <c r="E19" s="10">
        <v>18.0</v>
      </c>
      <c r="F19" s="10">
        <v>2020.0</v>
      </c>
      <c r="G19" s="10"/>
    </row>
    <row r="20">
      <c r="A20" s="7">
        <v>44069.0</v>
      </c>
      <c r="B20" s="8" t="s">
        <v>34</v>
      </c>
      <c r="C20" s="9">
        <v>965.0</v>
      </c>
      <c r="D20" s="10">
        <v>35.0</v>
      </c>
      <c r="E20" s="10">
        <v>19.0</v>
      </c>
      <c r="F20" s="10">
        <v>2020.0</v>
      </c>
      <c r="G20" s="10"/>
    </row>
    <row r="21">
      <c r="A21" s="7">
        <v>44076.0</v>
      </c>
      <c r="B21" s="8" t="s">
        <v>34</v>
      </c>
      <c r="C21" s="9">
        <v>813.0</v>
      </c>
      <c r="D21" s="10">
        <v>36.0</v>
      </c>
      <c r="E21" s="10">
        <v>20.0</v>
      </c>
      <c r="F21" s="10">
        <v>2020.0</v>
      </c>
      <c r="G21" s="10"/>
    </row>
    <row r="22">
      <c r="A22" s="7">
        <v>44083.0</v>
      </c>
      <c r="B22" s="8" t="s">
        <v>34</v>
      </c>
      <c r="C22" s="11">
        <v>1361.0</v>
      </c>
      <c r="D22" s="10">
        <v>37.0</v>
      </c>
      <c r="E22" s="10">
        <v>21.0</v>
      </c>
      <c r="F22" s="10">
        <v>2020.0</v>
      </c>
      <c r="G22" s="10"/>
    </row>
    <row r="23">
      <c r="A23" s="7">
        <v>44090.0</v>
      </c>
      <c r="B23" s="8" t="s">
        <v>34</v>
      </c>
      <c r="C23" s="11">
        <v>1269.0</v>
      </c>
      <c r="D23" s="10">
        <v>38.0</v>
      </c>
      <c r="E23" s="10">
        <v>22.0</v>
      </c>
      <c r="F23" s="10">
        <v>2020.0</v>
      </c>
      <c r="G23" s="10"/>
    </row>
    <row r="24">
      <c r="A24" s="7">
        <v>44097.0</v>
      </c>
      <c r="B24" s="8" t="s">
        <v>34</v>
      </c>
      <c r="C24" s="11">
        <v>1316.0</v>
      </c>
      <c r="D24" s="10">
        <v>39.0</v>
      </c>
      <c r="E24" s="10">
        <v>23.0</v>
      </c>
      <c r="F24" s="10">
        <v>2020.0</v>
      </c>
      <c r="G24" s="10"/>
    </row>
    <row r="25">
      <c r="A25" s="7">
        <v>44104.0</v>
      </c>
      <c r="B25" s="8" t="s">
        <v>34</v>
      </c>
      <c r="C25" s="11">
        <v>1684.0</v>
      </c>
      <c r="D25" s="10">
        <v>40.0</v>
      </c>
      <c r="E25" s="10">
        <v>24.0</v>
      </c>
      <c r="F25" s="10">
        <v>2020.0</v>
      </c>
      <c r="G25" s="10"/>
    </row>
    <row r="26">
      <c r="A26" s="7">
        <v>44111.0</v>
      </c>
      <c r="B26" s="8" t="s">
        <v>34</v>
      </c>
      <c r="C26" s="11">
        <v>1414.0</v>
      </c>
      <c r="D26" s="10">
        <v>41.0</v>
      </c>
      <c r="E26" s="10">
        <v>25.0</v>
      </c>
      <c r="F26" s="10">
        <v>2020.0</v>
      </c>
      <c r="G26" s="10"/>
    </row>
    <row r="27">
      <c r="A27" s="7">
        <v>44118.0</v>
      </c>
      <c r="B27" s="8" t="s">
        <v>34</v>
      </c>
      <c r="C27" s="9">
        <v>943.0</v>
      </c>
      <c r="D27" s="10">
        <v>42.0</v>
      </c>
      <c r="E27" s="10">
        <v>26.0</v>
      </c>
      <c r="F27" s="10">
        <v>2020.0</v>
      </c>
      <c r="G27" s="10"/>
    </row>
    <row r="28">
      <c r="A28" s="7">
        <v>44125.0</v>
      </c>
      <c r="B28" s="8" t="s">
        <v>34</v>
      </c>
      <c r="C28" s="11">
        <v>1364.0</v>
      </c>
      <c r="D28" s="10">
        <v>43.0</v>
      </c>
      <c r="E28" s="10">
        <v>27.0</v>
      </c>
      <c r="F28" s="10">
        <v>2020.0</v>
      </c>
      <c r="G28" s="10"/>
    </row>
    <row r="29">
      <c r="A29" s="7">
        <v>44132.0</v>
      </c>
      <c r="B29" s="8" t="s">
        <v>34</v>
      </c>
      <c r="C29" s="11">
        <v>1454.0</v>
      </c>
      <c r="D29" s="10">
        <v>44.0</v>
      </c>
      <c r="E29" s="10">
        <v>28.0</v>
      </c>
      <c r="F29" s="10">
        <v>2020.0</v>
      </c>
      <c r="G29" s="10"/>
    </row>
    <row r="30">
      <c r="A30" s="7">
        <v>44139.0</v>
      </c>
      <c r="B30" s="8" t="s">
        <v>34</v>
      </c>
      <c r="C30" s="11">
        <v>1474.0</v>
      </c>
      <c r="D30" s="10">
        <v>45.0</v>
      </c>
      <c r="E30" s="10">
        <v>29.0</v>
      </c>
      <c r="F30" s="10">
        <v>2020.0</v>
      </c>
      <c r="G30" s="10"/>
    </row>
    <row r="31">
      <c r="A31" s="7">
        <v>44146.0</v>
      </c>
      <c r="B31" s="8" t="s">
        <v>34</v>
      </c>
      <c r="C31" s="11">
        <v>2595.0</v>
      </c>
      <c r="D31" s="10">
        <v>46.0</v>
      </c>
      <c r="E31" s="10">
        <v>30.0</v>
      </c>
      <c r="F31" s="10">
        <v>2020.0</v>
      </c>
      <c r="G31" s="10"/>
    </row>
    <row r="32">
      <c r="A32" s="7">
        <v>44153.0</v>
      </c>
      <c r="B32" s="8" t="s">
        <v>34</v>
      </c>
      <c r="C32" s="11">
        <v>3159.0</v>
      </c>
      <c r="D32" s="10">
        <v>47.0</v>
      </c>
      <c r="E32" s="10">
        <v>31.0</v>
      </c>
      <c r="F32" s="10">
        <v>2020.0</v>
      </c>
      <c r="G32" s="10"/>
    </row>
    <row r="33">
      <c r="A33" s="7">
        <v>44160.0</v>
      </c>
      <c r="B33" s="8" t="s">
        <v>34</v>
      </c>
      <c r="C33" s="11">
        <v>2518.0</v>
      </c>
      <c r="D33" s="10">
        <v>48.0</v>
      </c>
      <c r="E33" s="10">
        <v>32.0</v>
      </c>
      <c r="F33" s="10">
        <v>2020.0</v>
      </c>
      <c r="G33" s="10"/>
    </row>
    <row r="34">
      <c r="A34" s="7">
        <v>44167.0</v>
      </c>
      <c r="B34" s="8" t="s">
        <v>34</v>
      </c>
      <c r="C34" s="11">
        <v>1511.0</v>
      </c>
      <c r="D34" s="10">
        <v>49.0</v>
      </c>
      <c r="E34" s="10">
        <v>33.0</v>
      </c>
      <c r="F34" s="10">
        <v>2020.0</v>
      </c>
      <c r="G34" s="10"/>
    </row>
    <row r="35">
      <c r="A35" s="7">
        <v>44174.0</v>
      </c>
      <c r="B35" s="8" t="s">
        <v>34</v>
      </c>
      <c r="C35" s="11">
        <v>1365.0</v>
      </c>
      <c r="D35" s="10">
        <v>50.0</v>
      </c>
      <c r="E35" s="10">
        <v>34.0</v>
      </c>
      <c r="F35" s="10">
        <v>2020.0</v>
      </c>
      <c r="G35" s="10"/>
    </row>
    <row r="36">
      <c r="A36" s="7">
        <v>44181.0</v>
      </c>
      <c r="B36" s="8" t="s">
        <v>34</v>
      </c>
      <c r="C36" s="11">
        <v>1762.0</v>
      </c>
      <c r="D36" s="10">
        <v>51.0</v>
      </c>
      <c r="E36" s="10">
        <v>35.0</v>
      </c>
      <c r="F36" s="10">
        <v>2020.0</v>
      </c>
      <c r="G36" s="10"/>
    </row>
    <row r="37">
      <c r="A37" s="7">
        <v>44188.0</v>
      </c>
      <c r="B37" s="8" t="s">
        <v>34</v>
      </c>
      <c r="C37" s="11">
        <v>1481.0</v>
      </c>
      <c r="D37" s="10">
        <v>52.0</v>
      </c>
      <c r="E37" s="10">
        <v>36.0</v>
      </c>
      <c r="F37" s="10">
        <v>2020.0</v>
      </c>
      <c r="G37" s="10"/>
    </row>
    <row r="38">
      <c r="A38" s="7">
        <v>44195.0</v>
      </c>
      <c r="B38" s="8" t="s">
        <v>34</v>
      </c>
      <c r="C38" s="11">
        <v>2311.0</v>
      </c>
      <c r="D38" s="10">
        <v>53.0</v>
      </c>
      <c r="E38" s="10">
        <v>37.0</v>
      </c>
      <c r="F38" s="10">
        <v>2020.0</v>
      </c>
      <c r="G38" s="10"/>
    </row>
    <row r="39">
      <c r="A39" s="7">
        <v>44202.0</v>
      </c>
      <c r="B39" s="8" t="s">
        <v>34</v>
      </c>
      <c r="C39" s="11">
        <v>1841.0</v>
      </c>
      <c r="D39" s="10">
        <v>2.0</v>
      </c>
      <c r="E39" s="10">
        <v>39.0</v>
      </c>
      <c r="F39" s="10">
        <v>2021.0</v>
      </c>
      <c r="G39" s="10"/>
    </row>
    <row r="40">
      <c r="A40" s="7">
        <v>44209.0</v>
      </c>
      <c r="B40" s="8" t="s">
        <v>34</v>
      </c>
      <c r="C40" s="11">
        <v>1912.0</v>
      </c>
      <c r="D40" s="10">
        <v>3.0</v>
      </c>
      <c r="E40" s="10">
        <v>40.0</v>
      </c>
      <c r="F40" s="10">
        <v>2021.0</v>
      </c>
      <c r="G40" s="10"/>
    </row>
    <row r="41">
      <c r="A41" s="7">
        <v>44216.0</v>
      </c>
      <c r="B41" s="8" t="s">
        <v>34</v>
      </c>
      <c r="C41" s="11">
        <v>2865.0</v>
      </c>
      <c r="D41" s="10">
        <v>4.0</v>
      </c>
      <c r="E41" s="10">
        <v>41.0</v>
      </c>
      <c r="F41" s="10">
        <v>2021.0</v>
      </c>
      <c r="G41" s="10"/>
    </row>
    <row r="42">
      <c r="A42" s="7">
        <v>44223.0</v>
      </c>
      <c r="B42" s="8" t="s">
        <v>34</v>
      </c>
      <c r="C42" s="11">
        <v>3109.0</v>
      </c>
      <c r="D42" s="10">
        <v>5.0</v>
      </c>
      <c r="E42" s="10">
        <v>42.0</v>
      </c>
      <c r="F42" s="10">
        <v>2021.0</v>
      </c>
      <c r="G42" s="10"/>
    </row>
    <row r="43">
      <c r="A43" s="7">
        <v>44230.0</v>
      </c>
      <c r="B43" s="8" t="s">
        <v>34</v>
      </c>
      <c r="C43" s="11">
        <v>4711.0</v>
      </c>
      <c r="D43" s="10">
        <v>6.0</v>
      </c>
      <c r="E43" s="10">
        <v>43.0</v>
      </c>
      <c r="F43" s="10">
        <v>2021.0</v>
      </c>
      <c r="G43" s="10"/>
    </row>
    <row r="44">
      <c r="A44" s="7">
        <v>44237.0</v>
      </c>
      <c r="B44" s="8" t="s">
        <v>34</v>
      </c>
      <c r="C44" s="11">
        <v>3840.0</v>
      </c>
      <c r="D44" s="10">
        <v>7.0</v>
      </c>
      <c r="E44" s="10">
        <v>44.0</v>
      </c>
      <c r="F44" s="10">
        <v>2021.0</v>
      </c>
      <c r="G44" s="10"/>
    </row>
    <row r="45">
      <c r="A45" s="7">
        <v>44244.0</v>
      </c>
      <c r="B45" s="8" t="s">
        <v>34</v>
      </c>
      <c r="C45" s="11">
        <v>5418.0</v>
      </c>
      <c r="D45" s="10">
        <v>8.0</v>
      </c>
      <c r="E45" s="10">
        <v>45.0</v>
      </c>
      <c r="F45" s="10">
        <v>2021.0</v>
      </c>
      <c r="G45" s="10"/>
    </row>
    <row r="46">
      <c r="A46" s="7">
        <v>44251.0</v>
      </c>
      <c r="B46" s="8" t="s">
        <v>34</v>
      </c>
      <c r="C46" s="11">
        <v>6030.0</v>
      </c>
      <c r="D46" s="10">
        <v>9.0</v>
      </c>
      <c r="E46" s="10">
        <v>46.0</v>
      </c>
      <c r="F46" s="10">
        <v>2021.0</v>
      </c>
      <c r="G46" s="10"/>
    </row>
    <row r="47">
      <c r="A47" s="7">
        <v>44258.0</v>
      </c>
      <c r="B47" s="8" t="s">
        <v>34</v>
      </c>
      <c r="C47" s="11">
        <v>5186.0</v>
      </c>
      <c r="D47" s="10">
        <v>10.0</v>
      </c>
      <c r="E47" s="10">
        <v>47.0</v>
      </c>
      <c r="F47" s="10">
        <v>2021.0</v>
      </c>
      <c r="G47" s="10"/>
    </row>
    <row r="48">
      <c r="A48" s="7">
        <v>44265.0</v>
      </c>
      <c r="B48" s="8" t="s">
        <v>34</v>
      </c>
      <c r="C48" s="11">
        <v>3989.0</v>
      </c>
      <c r="D48" s="10">
        <v>11.0</v>
      </c>
      <c r="E48" s="10">
        <v>48.0</v>
      </c>
      <c r="F48" s="10">
        <v>2021.0</v>
      </c>
      <c r="G48" s="10"/>
    </row>
    <row r="49">
      <c r="A49" s="7">
        <v>44272.0</v>
      </c>
      <c r="B49" s="8" t="s">
        <v>34</v>
      </c>
      <c r="C49" s="11">
        <v>4052.0</v>
      </c>
      <c r="D49" s="10">
        <v>12.0</v>
      </c>
      <c r="E49" s="10">
        <v>49.0</v>
      </c>
      <c r="F49" s="10">
        <v>2021.0</v>
      </c>
      <c r="G49" s="10"/>
    </row>
    <row r="50">
      <c r="A50" s="7">
        <v>44279.0</v>
      </c>
      <c r="B50" s="8" t="s">
        <v>34</v>
      </c>
      <c r="C50" s="11">
        <v>4865.0</v>
      </c>
      <c r="D50" s="10">
        <v>13.0</v>
      </c>
      <c r="E50" s="10">
        <v>50.0</v>
      </c>
      <c r="F50" s="10">
        <v>2021.0</v>
      </c>
      <c r="G50" s="10"/>
    </row>
    <row r="51">
      <c r="A51" s="7">
        <v>44286.0</v>
      </c>
      <c r="B51" s="8" t="s">
        <v>34</v>
      </c>
      <c r="C51" s="11">
        <v>4225.0</v>
      </c>
      <c r="D51" s="10">
        <v>14.0</v>
      </c>
      <c r="E51" s="10">
        <v>51.0</v>
      </c>
      <c r="F51" s="10">
        <v>2021.0</v>
      </c>
      <c r="G51" s="10"/>
    </row>
    <row r="52">
      <c r="A52" s="7">
        <v>44293.0</v>
      </c>
      <c r="B52" s="8" t="s">
        <v>34</v>
      </c>
      <c r="C52" s="11">
        <v>5442.0</v>
      </c>
      <c r="D52" s="10">
        <v>15.0</v>
      </c>
      <c r="E52" s="10">
        <v>52.0</v>
      </c>
      <c r="F52" s="10">
        <v>2021.0</v>
      </c>
      <c r="G52" s="10"/>
    </row>
    <row r="53">
      <c r="A53" s="7">
        <v>44300.0</v>
      </c>
      <c r="B53" s="8" t="s">
        <v>34</v>
      </c>
      <c r="C53" s="11">
        <v>7241.0</v>
      </c>
      <c r="D53" s="10">
        <v>16.0</v>
      </c>
      <c r="E53" s="10">
        <v>53.0</v>
      </c>
      <c r="F53" s="10">
        <v>2021.0</v>
      </c>
      <c r="G53" s="10"/>
    </row>
    <row r="54">
      <c r="A54" s="7">
        <v>44307.0</v>
      </c>
      <c r="B54" s="8" t="s">
        <v>34</v>
      </c>
      <c r="C54" s="11">
        <v>10085.0</v>
      </c>
      <c r="D54" s="10">
        <v>17.0</v>
      </c>
      <c r="E54" s="10">
        <v>54.0</v>
      </c>
      <c r="F54" s="10">
        <v>2021.0</v>
      </c>
      <c r="G54" s="10"/>
    </row>
    <row r="55">
      <c r="A55" s="7">
        <v>44314.0</v>
      </c>
      <c r="B55" s="8" t="s">
        <v>34</v>
      </c>
      <c r="C55" s="11">
        <v>9454.0</v>
      </c>
      <c r="D55" s="10">
        <v>18.0</v>
      </c>
      <c r="E55" s="10">
        <v>55.0</v>
      </c>
      <c r="F55" s="10">
        <v>2021.0</v>
      </c>
      <c r="G55" s="10"/>
    </row>
    <row r="56">
      <c r="A56" s="7">
        <v>44321.0</v>
      </c>
      <c r="B56" s="8" t="s">
        <v>34</v>
      </c>
      <c r="C56" s="11">
        <v>6715.0</v>
      </c>
      <c r="D56" s="10">
        <v>19.0</v>
      </c>
      <c r="E56" s="10">
        <v>56.0</v>
      </c>
      <c r="F56" s="10">
        <v>2021.0</v>
      </c>
      <c r="G56" s="10"/>
    </row>
    <row r="57">
      <c r="A57" s="7">
        <v>44328.0</v>
      </c>
      <c r="B57" s="8" t="s">
        <v>34</v>
      </c>
      <c r="C57" s="11">
        <v>8579.0</v>
      </c>
      <c r="D57" s="10">
        <v>20.0</v>
      </c>
      <c r="E57" s="10">
        <v>57.0</v>
      </c>
      <c r="F57" s="10">
        <v>2021.0</v>
      </c>
      <c r="G57" s="10"/>
    </row>
    <row r="58">
      <c r="A58" s="7">
        <v>44335.0</v>
      </c>
      <c r="B58" s="8" t="s">
        <v>34</v>
      </c>
      <c r="C58" s="11">
        <v>5475.0</v>
      </c>
      <c r="D58" s="10">
        <v>21.0</v>
      </c>
      <c r="E58" s="10">
        <v>58.0</v>
      </c>
      <c r="F58" s="10">
        <v>2021.0</v>
      </c>
      <c r="G58" s="10"/>
    </row>
    <row r="59">
      <c r="A59" s="7">
        <v>44342.0</v>
      </c>
      <c r="B59" s="8" t="s">
        <v>34</v>
      </c>
      <c r="C59" s="11">
        <v>4063.0</v>
      </c>
      <c r="D59" s="10">
        <v>22.0</v>
      </c>
      <c r="E59" s="10">
        <v>59.0</v>
      </c>
      <c r="F59" s="10">
        <v>2021.0</v>
      </c>
      <c r="G59" s="10"/>
    </row>
    <row r="60">
      <c r="A60" s="7">
        <v>44349.0</v>
      </c>
      <c r="B60" s="8" t="s">
        <v>34</v>
      </c>
      <c r="C60" s="11">
        <v>10085.0</v>
      </c>
      <c r="D60" s="10">
        <v>23.0</v>
      </c>
      <c r="E60" s="10">
        <v>60.0</v>
      </c>
      <c r="F60" s="10">
        <v>2021.0</v>
      </c>
      <c r="G60" s="10"/>
    </row>
    <row r="61">
      <c r="A61" s="7">
        <v>44356.0</v>
      </c>
      <c r="B61" s="8" t="s">
        <v>34</v>
      </c>
      <c r="C61" s="11">
        <v>9454.0</v>
      </c>
      <c r="D61" s="10">
        <v>24.0</v>
      </c>
      <c r="E61" s="10">
        <v>61.0</v>
      </c>
      <c r="F61" s="10">
        <v>2021.0</v>
      </c>
      <c r="G61" s="10"/>
    </row>
    <row r="62">
      <c r="A62" s="7">
        <v>44363.0</v>
      </c>
      <c r="B62" s="8" t="s">
        <v>34</v>
      </c>
      <c r="C62" s="11">
        <v>6715.0</v>
      </c>
      <c r="D62" s="10">
        <v>25.0</v>
      </c>
      <c r="E62" s="10">
        <v>62.0</v>
      </c>
      <c r="F62" s="10">
        <v>2021.0</v>
      </c>
      <c r="G62" s="10"/>
    </row>
    <row r="63">
      <c r="A63" s="7">
        <v>44370.0</v>
      </c>
      <c r="B63" s="8" t="s">
        <v>34</v>
      </c>
      <c r="C63" s="11">
        <v>8579.0</v>
      </c>
      <c r="D63" s="10">
        <v>26.0</v>
      </c>
      <c r="E63" s="10">
        <v>63.0</v>
      </c>
      <c r="F63" s="10">
        <v>2021.0</v>
      </c>
      <c r="G63" s="10"/>
    </row>
    <row r="64">
      <c r="A64" s="7">
        <v>44377.0</v>
      </c>
      <c r="B64" s="8" t="s">
        <v>34</v>
      </c>
      <c r="C64" s="11">
        <v>5475.0</v>
      </c>
      <c r="D64" s="10">
        <v>27.0</v>
      </c>
      <c r="E64" s="10">
        <v>64.0</v>
      </c>
      <c r="F64" s="10">
        <v>2021.0</v>
      </c>
      <c r="G64" s="10"/>
    </row>
    <row r="65">
      <c r="A65" s="7">
        <v>44384.0</v>
      </c>
      <c r="B65" s="8" t="s">
        <v>34</v>
      </c>
      <c r="C65" s="11">
        <v>4063.0</v>
      </c>
      <c r="D65" s="10">
        <v>28.0</v>
      </c>
      <c r="E65" s="10">
        <v>65.0</v>
      </c>
      <c r="F65" s="10">
        <v>2021.0</v>
      </c>
      <c r="G65" s="10"/>
    </row>
    <row r="66">
      <c r="A66" s="7">
        <v>44391.0</v>
      </c>
      <c r="B66" s="8" t="s">
        <v>34</v>
      </c>
      <c r="C66" s="11">
        <v>4198.0</v>
      </c>
      <c r="D66" s="10">
        <v>29.0</v>
      </c>
      <c r="E66" s="10">
        <v>66.0</v>
      </c>
      <c r="F66" s="10">
        <v>2021.0</v>
      </c>
      <c r="G66" s="10"/>
    </row>
    <row r="67">
      <c r="A67" s="7">
        <v>44398.0</v>
      </c>
      <c r="B67" s="8" t="s">
        <v>34</v>
      </c>
      <c r="C67" s="11">
        <v>5372.0</v>
      </c>
      <c r="D67" s="10">
        <v>30.0</v>
      </c>
      <c r="E67" s="10">
        <v>67.0</v>
      </c>
      <c r="F67" s="10">
        <v>2021.0</v>
      </c>
      <c r="G67" s="10"/>
    </row>
    <row r="68">
      <c r="A68" s="7">
        <v>44405.0</v>
      </c>
      <c r="B68" s="8" t="s">
        <v>34</v>
      </c>
      <c r="C68" s="11">
        <v>6175.0</v>
      </c>
      <c r="D68" s="10">
        <v>31.0</v>
      </c>
      <c r="E68" s="10">
        <v>68.0</v>
      </c>
      <c r="F68" s="10">
        <v>2021.0</v>
      </c>
      <c r="G68" s="10"/>
    </row>
    <row r="69">
      <c r="A69" s="7">
        <v>44412.0</v>
      </c>
      <c r="B69" s="8" t="s">
        <v>34</v>
      </c>
      <c r="C69" s="11">
        <v>5764.0</v>
      </c>
      <c r="D69" s="10">
        <v>32.0</v>
      </c>
      <c r="E69" s="10">
        <v>69.0</v>
      </c>
      <c r="F69" s="10">
        <v>2021.0</v>
      </c>
      <c r="G69" s="10"/>
    </row>
    <row r="70">
      <c r="A70" s="7">
        <v>44419.0</v>
      </c>
      <c r="B70" s="8" t="s">
        <v>34</v>
      </c>
      <c r="C70" s="11">
        <v>6847.0</v>
      </c>
      <c r="D70" s="10">
        <v>33.0</v>
      </c>
      <c r="E70" s="10">
        <v>70.0</v>
      </c>
      <c r="F70" s="10">
        <v>2021.0</v>
      </c>
      <c r="G70" s="10"/>
    </row>
    <row r="71">
      <c r="A71" s="7">
        <v>44426.0</v>
      </c>
      <c r="B71" s="8" t="s">
        <v>34</v>
      </c>
      <c r="C71" s="11">
        <v>5245.0</v>
      </c>
      <c r="D71" s="10">
        <v>34.0</v>
      </c>
      <c r="E71" s="10">
        <v>71.0</v>
      </c>
      <c r="F71" s="10">
        <v>2021.0</v>
      </c>
      <c r="G71" s="10"/>
    </row>
    <row r="72">
      <c r="A72" s="7">
        <v>44433.0</v>
      </c>
      <c r="B72" s="8" t="s">
        <v>34</v>
      </c>
      <c r="C72" s="11">
        <v>4780.0</v>
      </c>
      <c r="D72" s="10">
        <v>35.0</v>
      </c>
      <c r="E72" s="10">
        <v>72.0</v>
      </c>
      <c r="F72" s="10">
        <v>2021.0</v>
      </c>
      <c r="G72" s="10"/>
    </row>
    <row r="73">
      <c r="A73" s="7">
        <v>44440.0</v>
      </c>
      <c r="B73" s="8" t="s">
        <v>34</v>
      </c>
      <c r="C73" s="11">
        <v>4568.0</v>
      </c>
      <c r="D73" s="10">
        <v>36.0</v>
      </c>
      <c r="E73" s="10">
        <v>73.0</v>
      </c>
      <c r="F73" s="10">
        <v>2021.0</v>
      </c>
      <c r="G73" s="10"/>
    </row>
    <row r="74">
      <c r="A74" s="7">
        <v>44447.0</v>
      </c>
      <c r="B74" s="8" t="s">
        <v>34</v>
      </c>
      <c r="C74" s="11">
        <v>3989.0</v>
      </c>
      <c r="D74" s="10">
        <v>37.0</v>
      </c>
      <c r="E74" s="10">
        <v>74.0</v>
      </c>
      <c r="F74" s="10">
        <v>2021.0</v>
      </c>
      <c r="G74" s="10"/>
    </row>
    <row r="75">
      <c r="A75" s="7">
        <v>44454.0</v>
      </c>
      <c r="B75" s="8" t="s">
        <v>35</v>
      </c>
      <c r="C75" s="9">
        <v>600.0</v>
      </c>
      <c r="D75" s="10">
        <v>38.0</v>
      </c>
      <c r="E75" s="10">
        <v>75.0</v>
      </c>
      <c r="F75" s="10">
        <v>2021.0</v>
      </c>
      <c r="G75" s="10"/>
    </row>
    <row r="76">
      <c r="A76" s="7">
        <v>44454.0</v>
      </c>
      <c r="B76" s="8" t="s">
        <v>36</v>
      </c>
      <c r="C76" s="11">
        <v>1989.0</v>
      </c>
      <c r="D76" s="10">
        <v>38.0</v>
      </c>
      <c r="E76" s="10">
        <v>75.0</v>
      </c>
      <c r="F76" s="10">
        <v>2021.0</v>
      </c>
      <c r="G76" s="10"/>
    </row>
    <row r="77">
      <c r="A77" s="7">
        <v>44454.0</v>
      </c>
      <c r="B77" s="8" t="s">
        <v>37</v>
      </c>
      <c r="C77" s="11">
        <v>1071.0</v>
      </c>
      <c r="D77" s="10">
        <v>38.0</v>
      </c>
      <c r="E77" s="10">
        <v>75.0</v>
      </c>
      <c r="F77" s="10">
        <v>2021.0</v>
      </c>
      <c r="G77" s="10"/>
    </row>
    <row r="78">
      <c r="A78" s="7">
        <v>44454.0</v>
      </c>
      <c r="B78" s="8" t="s">
        <v>38</v>
      </c>
      <c r="C78" s="9">
        <v>160.0</v>
      </c>
      <c r="D78" s="10">
        <v>38.0</v>
      </c>
      <c r="E78" s="10">
        <v>75.0</v>
      </c>
      <c r="F78" s="10">
        <v>2021.0</v>
      </c>
      <c r="G78" s="10"/>
    </row>
    <row r="79">
      <c r="A79" s="7">
        <v>44454.0</v>
      </c>
      <c r="B79" s="8" t="s">
        <v>39</v>
      </c>
      <c r="C79" s="9">
        <v>451.0</v>
      </c>
      <c r="D79" s="10">
        <v>38.0</v>
      </c>
      <c r="E79" s="10">
        <v>75.0</v>
      </c>
      <c r="F79" s="10">
        <v>2021.0</v>
      </c>
      <c r="G79" s="10"/>
    </row>
    <row r="80">
      <c r="A80" s="7">
        <v>44454.0</v>
      </c>
      <c r="B80" s="8" t="s">
        <v>40</v>
      </c>
      <c r="C80" s="9">
        <v>419.0</v>
      </c>
      <c r="D80" s="10">
        <v>38.0</v>
      </c>
      <c r="E80" s="10">
        <v>75.0</v>
      </c>
      <c r="F80" s="10">
        <v>2021.0</v>
      </c>
      <c r="G80" s="10"/>
    </row>
    <row r="81">
      <c r="A81" s="7">
        <v>44461.0</v>
      </c>
      <c r="B81" s="8" t="s">
        <v>35</v>
      </c>
      <c r="C81" s="9">
        <v>790.0</v>
      </c>
      <c r="D81" s="10">
        <v>39.0</v>
      </c>
      <c r="E81" s="10">
        <v>76.0</v>
      </c>
      <c r="F81" s="10">
        <v>2021.0</v>
      </c>
      <c r="G81" s="10"/>
    </row>
    <row r="82">
      <c r="A82" s="7">
        <v>44461.0</v>
      </c>
      <c r="B82" s="8" t="s">
        <v>41</v>
      </c>
      <c r="C82" s="9">
        <v>30.0</v>
      </c>
      <c r="D82" s="10">
        <v>39.0</v>
      </c>
      <c r="E82" s="10">
        <v>76.0</v>
      </c>
      <c r="F82" s="10">
        <v>2021.0</v>
      </c>
      <c r="G82" s="10"/>
    </row>
    <row r="83">
      <c r="A83" s="7">
        <v>44461.0</v>
      </c>
      <c r="B83" s="8" t="s">
        <v>36</v>
      </c>
      <c r="C83" s="11">
        <v>2008.0</v>
      </c>
      <c r="D83" s="10">
        <v>39.0</v>
      </c>
      <c r="E83" s="10">
        <v>76.0</v>
      </c>
      <c r="F83" s="10">
        <v>2021.0</v>
      </c>
      <c r="G83" s="10"/>
    </row>
    <row r="84">
      <c r="A84" s="7">
        <v>44461.0</v>
      </c>
      <c r="B84" s="8" t="s">
        <v>37</v>
      </c>
      <c r="C84" s="9">
        <v>988.0</v>
      </c>
      <c r="D84" s="10">
        <v>39.0</v>
      </c>
      <c r="E84" s="10">
        <v>76.0</v>
      </c>
      <c r="F84" s="10">
        <v>2021.0</v>
      </c>
      <c r="G84" s="10"/>
    </row>
    <row r="85">
      <c r="A85" s="7">
        <v>44461.0</v>
      </c>
      <c r="B85" s="8" t="s">
        <v>38</v>
      </c>
      <c r="C85" s="9">
        <v>99.0</v>
      </c>
      <c r="D85" s="10">
        <v>39.0</v>
      </c>
      <c r="E85" s="10">
        <v>76.0</v>
      </c>
      <c r="F85" s="10">
        <v>2021.0</v>
      </c>
      <c r="G85" s="10"/>
    </row>
    <row r="86">
      <c r="A86" s="7">
        <v>44461.0</v>
      </c>
      <c r="B86" s="8" t="s">
        <v>39</v>
      </c>
      <c r="C86" s="9">
        <v>48.0</v>
      </c>
      <c r="D86" s="10">
        <v>39.0</v>
      </c>
      <c r="E86" s="10">
        <v>76.0</v>
      </c>
      <c r="F86" s="10">
        <v>2021.0</v>
      </c>
      <c r="G86" s="10"/>
    </row>
    <row r="87">
      <c r="A87" s="7">
        <v>44461.0</v>
      </c>
      <c r="B87" s="8" t="s">
        <v>40</v>
      </c>
      <c r="C87" s="9">
        <v>425.0</v>
      </c>
      <c r="D87" s="10">
        <v>39.0</v>
      </c>
      <c r="E87" s="10">
        <v>76.0</v>
      </c>
      <c r="F87" s="10">
        <v>2021.0</v>
      </c>
      <c r="G87" s="10"/>
    </row>
    <row r="88">
      <c r="A88" s="7">
        <v>44468.0</v>
      </c>
      <c r="B88" s="8" t="s">
        <v>35</v>
      </c>
      <c r="C88" s="9">
        <v>594.0</v>
      </c>
      <c r="D88" s="10">
        <v>40.0</v>
      </c>
      <c r="E88" s="10">
        <v>77.0</v>
      </c>
      <c r="F88" s="10">
        <v>2021.0</v>
      </c>
      <c r="G88" s="10"/>
    </row>
    <row r="89">
      <c r="A89" s="7">
        <v>44468.0</v>
      </c>
      <c r="B89" s="8" t="s">
        <v>36</v>
      </c>
      <c r="C89" s="11">
        <v>1865.0</v>
      </c>
      <c r="D89" s="10">
        <v>40.0</v>
      </c>
      <c r="E89" s="10">
        <v>77.0</v>
      </c>
      <c r="F89" s="10">
        <v>2021.0</v>
      </c>
      <c r="G89" s="10"/>
    </row>
    <row r="90">
      <c r="A90" s="7">
        <v>44468.0</v>
      </c>
      <c r="B90" s="8" t="s">
        <v>37</v>
      </c>
      <c r="C90" s="11">
        <v>1855.0</v>
      </c>
      <c r="D90" s="10">
        <v>40.0</v>
      </c>
      <c r="E90" s="10">
        <v>77.0</v>
      </c>
      <c r="F90" s="10">
        <v>2021.0</v>
      </c>
      <c r="G90" s="10"/>
    </row>
    <row r="91">
      <c r="A91" s="7">
        <v>44468.0</v>
      </c>
      <c r="B91" s="8" t="s">
        <v>38</v>
      </c>
      <c r="C91" s="9">
        <v>114.0</v>
      </c>
      <c r="D91" s="10">
        <v>40.0</v>
      </c>
      <c r="E91" s="10">
        <v>77.0</v>
      </c>
      <c r="F91" s="10">
        <v>2021.0</v>
      </c>
      <c r="G91" s="10"/>
    </row>
    <row r="92">
      <c r="A92" s="7">
        <v>44468.0</v>
      </c>
      <c r="B92" s="8" t="s">
        <v>42</v>
      </c>
      <c r="C92" s="9">
        <v>273.0</v>
      </c>
      <c r="D92" s="10">
        <v>40.0</v>
      </c>
      <c r="E92" s="10">
        <v>77.0</v>
      </c>
      <c r="F92" s="10">
        <v>2021.0</v>
      </c>
      <c r="G92" s="10"/>
    </row>
    <row r="93">
      <c r="A93" s="7">
        <v>44468.0</v>
      </c>
      <c r="B93" s="8" t="s">
        <v>39</v>
      </c>
      <c r="C93" s="9">
        <v>60.0</v>
      </c>
      <c r="D93" s="10">
        <v>40.0</v>
      </c>
      <c r="E93" s="10">
        <v>77.0</v>
      </c>
      <c r="F93" s="10">
        <v>2021.0</v>
      </c>
      <c r="G93" s="10"/>
    </row>
    <row r="94">
      <c r="A94" s="7">
        <v>44468.0</v>
      </c>
      <c r="B94" s="8" t="s">
        <v>40</v>
      </c>
      <c r="C94" s="9">
        <v>127.0</v>
      </c>
      <c r="D94" s="10">
        <v>40.0</v>
      </c>
      <c r="E94" s="10">
        <v>77.0</v>
      </c>
      <c r="F94" s="10">
        <v>2021.0</v>
      </c>
      <c r="G94" s="10"/>
    </row>
    <row r="95">
      <c r="A95" s="7">
        <v>44475.0</v>
      </c>
      <c r="B95" s="8" t="s">
        <v>35</v>
      </c>
      <c r="C95" s="9">
        <v>651.0</v>
      </c>
      <c r="D95" s="10">
        <v>41.0</v>
      </c>
      <c r="E95" s="10">
        <v>78.0</v>
      </c>
      <c r="F95" s="10">
        <v>2021.0</v>
      </c>
      <c r="G95" s="10"/>
    </row>
    <row r="96">
      <c r="A96" s="7">
        <v>44475.0</v>
      </c>
      <c r="B96" s="8" t="s">
        <v>36</v>
      </c>
      <c r="C96" s="11">
        <v>2225.0</v>
      </c>
      <c r="D96" s="10">
        <v>41.0</v>
      </c>
      <c r="E96" s="10">
        <v>78.0</v>
      </c>
      <c r="F96" s="10">
        <v>2021.0</v>
      </c>
      <c r="G96" s="10"/>
    </row>
    <row r="97">
      <c r="A97" s="7">
        <v>44475.0</v>
      </c>
      <c r="B97" s="8" t="s">
        <v>37</v>
      </c>
      <c r="C97" s="9">
        <v>866.0</v>
      </c>
      <c r="D97" s="10">
        <v>41.0</v>
      </c>
      <c r="E97" s="10">
        <v>78.0</v>
      </c>
      <c r="F97" s="10">
        <v>2021.0</v>
      </c>
      <c r="G97" s="10"/>
    </row>
    <row r="98">
      <c r="A98" s="7">
        <v>44475.0</v>
      </c>
      <c r="B98" s="8" t="s">
        <v>38</v>
      </c>
      <c r="C98" s="9">
        <v>126.0</v>
      </c>
      <c r="D98" s="10">
        <v>41.0</v>
      </c>
      <c r="E98" s="10">
        <v>78.0</v>
      </c>
      <c r="F98" s="10">
        <v>2021.0</v>
      </c>
      <c r="G98" s="10"/>
    </row>
    <row r="99">
      <c r="A99" s="7">
        <v>44475.0</v>
      </c>
      <c r="B99" s="8" t="s">
        <v>39</v>
      </c>
      <c r="C99" s="9">
        <v>120.0</v>
      </c>
      <c r="D99" s="10">
        <v>41.0</v>
      </c>
      <c r="E99" s="10">
        <v>78.0</v>
      </c>
      <c r="F99" s="10">
        <v>2021.0</v>
      </c>
      <c r="G99" s="10"/>
    </row>
    <row r="100">
      <c r="A100" s="7">
        <v>44475.0</v>
      </c>
      <c r="B100" s="8" t="s">
        <v>40</v>
      </c>
      <c r="C100" s="9">
        <v>660.0</v>
      </c>
      <c r="D100" s="10">
        <v>41.0</v>
      </c>
      <c r="E100" s="10">
        <v>78.0</v>
      </c>
      <c r="F100" s="10">
        <v>2021.0</v>
      </c>
      <c r="G100" s="10"/>
    </row>
    <row r="101">
      <c r="A101" s="7">
        <v>44482.0</v>
      </c>
      <c r="B101" s="8" t="s">
        <v>35</v>
      </c>
      <c r="C101" s="9">
        <v>509.0</v>
      </c>
      <c r="D101" s="10">
        <v>42.0</v>
      </c>
      <c r="E101" s="10">
        <v>79.0</v>
      </c>
      <c r="F101" s="10">
        <v>2021.0</v>
      </c>
      <c r="G101" s="10"/>
    </row>
    <row r="102">
      <c r="A102" s="7">
        <v>44482.0</v>
      </c>
      <c r="B102" s="8" t="s">
        <v>41</v>
      </c>
      <c r="C102" s="9">
        <v>9.0</v>
      </c>
      <c r="D102" s="10">
        <v>42.0</v>
      </c>
      <c r="E102" s="10">
        <v>79.0</v>
      </c>
      <c r="F102" s="10">
        <v>2021.0</v>
      </c>
      <c r="G102" s="10"/>
    </row>
    <row r="103">
      <c r="A103" s="7">
        <v>44482.0</v>
      </c>
      <c r="B103" s="8" t="s">
        <v>36</v>
      </c>
      <c r="C103" s="11">
        <v>1522.0</v>
      </c>
      <c r="D103" s="10">
        <v>42.0</v>
      </c>
      <c r="E103" s="10">
        <v>79.0</v>
      </c>
      <c r="F103" s="10">
        <v>2021.0</v>
      </c>
      <c r="G103" s="10"/>
    </row>
    <row r="104">
      <c r="A104" s="7">
        <v>44482.0</v>
      </c>
      <c r="B104" s="8" t="s">
        <v>37</v>
      </c>
      <c r="C104" s="11">
        <v>1328.0</v>
      </c>
      <c r="D104" s="10">
        <v>42.0</v>
      </c>
      <c r="E104" s="10">
        <v>79.0</v>
      </c>
      <c r="F104" s="10">
        <v>2021.0</v>
      </c>
      <c r="G104" s="10"/>
    </row>
    <row r="105">
      <c r="A105" s="7">
        <v>44482.0</v>
      </c>
      <c r="B105" s="8" t="s">
        <v>38</v>
      </c>
      <c r="C105" s="9">
        <v>266.0</v>
      </c>
      <c r="D105" s="10">
        <v>42.0</v>
      </c>
      <c r="E105" s="10">
        <v>79.0</v>
      </c>
      <c r="F105" s="10">
        <v>2021.0</v>
      </c>
      <c r="G105" s="10"/>
    </row>
    <row r="106">
      <c r="A106" s="7">
        <v>44482.0</v>
      </c>
      <c r="B106" s="8" t="s">
        <v>39</v>
      </c>
      <c r="C106" s="9">
        <v>72.0</v>
      </c>
      <c r="D106" s="10">
        <v>42.0</v>
      </c>
      <c r="E106" s="10">
        <v>79.0</v>
      </c>
      <c r="F106" s="10">
        <v>2021.0</v>
      </c>
      <c r="G106" s="10"/>
    </row>
    <row r="107">
      <c r="A107" s="7">
        <v>44482.0</v>
      </c>
      <c r="B107" s="8" t="s">
        <v>40</v>
      </c>
      <c r="C107" s="9">
        <v>210.0</v>
      </c>
      <c r="D107" s="10">
        <v>42.0</v>
      </c>
      <c r="E107" s="10">
        <v>79.0</v>
      </c>
      <c r="F107" s="10">
        <v>2021.0</v>
      </c>
      <c r="G107" s="10"/>
    </row>
    <row r="108">
      <c r="A108" s="7">
        <v>44489.0</v>
      </c>
      <c r="B108" s="8" t="s">
        <v>35</v>
      </c>
      <c r="C108" s="11">
        <v>1005.0</v>
      </c>
      <c r="D108" s="10">
        <v>43.0</v>
      </c>
      <c r="E108" s="10">
        <v>80.0</v>
      </c>
      <c r="F108" s="10">
        <v>2021.0</v>
      </c>
      <c r="G108" s="10"/>
    </row>
    <row r="109">
      <c r="A109" s="7">
        <v>44489.0</v>
      </c>
      <c r="B109" s="8" t="s">
        <v>36</v>
      </c>
      <c r="C109" s="11">
        <v>1874.0</v>
      </c>
      <c r="D109" s="10">
        <v>43.0</v>
      </c>
      <c r="E109" s="10">
        <v>80.0</v>
      </c>
      <c r="F109" s="10">
        <v>2021.0</v>
      </c>
      <c r="G109" s="10"/>
    </row>
    <row r="110">
      <c r="A110" s="7">
        <v>44489.0</v>
      </c>
      <c r="B110" s="8" t="s">
        <v>37</v>
      </c>
      <c r="C110" s="11">
        <v>1218.0</v>
      </c>
      <c r="D110" s="10">
        <v>43.0</v>
      </c>
      <c r="E110" s="10">
        <v>80.0</v>
      </c>
      <c r="F110" s="10">
        <v>2021.0</v>
      </c>
      <c r="G110" s="10"/>
    </row>
    <row r="111">
      <c r="A111" s="7">
        <v>44489.0</v>
      </c>
      <c r="B111" s="8" t="s">
        <v>38</v>
      </c>
      <c r="C111" s="9">
        <v>188.0</v>
      </c>
      <c r="D111" s="10">
        <v>43.0</v>
      </c>
      <c r="E111" s="10">
        <v>80.0</v>
      </c>
      <c r="F111" s="10">
        <v>2021.0</v>
      </c>
      <c r="G111" s="10"/>
    </row>
    <row r="112">
      <c r="A112" s="7">
        <v>44489.0</v>
      </c>
      <c r="B112" s="8" t="s">
        <v>39</v>
      </c>
      <c r="C112" s="9">
        <v>40.0</v>
      </c>
      <c r="D112" s="10">
        <v>43.0</v>
      </c>
      <c r="E112" s="10">
        <v>80.0</v>
      </c>
      <c r="F112" s="10">
        <v>2021.0</v>
      </c>
      <c r="G112" s="10"/>
    </row>
    <row r="113">
      <c r="A113" s="7">
        <v>44489.0</v>
      </c>
      <c r="B113" s="8" t="s">
        <v>40</v>
      </c>
      <c r="C113" s="9">
        <v>598.0</v>
      </c>
      <c r="D113" s="10">
        <v>43.0</v>
      </c>
      <c r="E113" s="10">
        <v>80.0</v>
      </c>
      <c r="F113" s="10">
        <v>2021.0</v>
      </c>
      <c r="G113" s="10"/>
    </row>
    <row r="114">
      <c r="A114" s="7">
        <v>44496.0</v>
      </c>
      <c r="B114" s="8" t="s">
        <v>35</v>
      </c>
      <c r="C114" s="11">
        <v>1043.0</v>
      </c>
      <c r="D114" s="10">
        <v>44.0</v>
      </c>
      <c r="E114" s="10">
        <v>81.0</v>
      </c>
      <c r="F114" s="10">
        <v>2021.0</v>
      </c>
      <c r="G114" s="10"/>
    </row>
    <row r="115">
      <c r="A115" s="7">
        <v>44496.0</v>
      </c>
      <c r="B115" s="8" t="s">
        <v>36</v>
      </c>
      <c r="C115" s="11">
        <v>2806.0</v>
      </c>
      <c r="D115" s="10">
        <v>44.0</v>
      </c>
      <c r="E115" s="10">
        <v>81.0</v>
      </c>
      <c r="F115" s="10">
        <v>2021.0</v>
      </c>
      <c r="G115" s="10"/>
    </row>
    <row r="116">
      <c r="A116" s="7">
        <v>44496.0</v>
      </c>
      <c r="B116" s="8" t="s">
        <v>37</v>
      </c>
      <c r="C116" s="11">
        <v>1229.0</v>
      </c>
      <c r="D116" s="10">
        <v>44.0</v>
      </c>
      <c r="E116" s="10">
        <v>81.0</v>
      </c>
      <c r="F116" s="10">
        <v>2021.0</v>
      </c>
      <c r="G116" s="10"/>
    </row>
    <row r="117">
      <c r="A117" s="7">
        <v>44496.0</v>
      </c>
      <c r="B117" s="8" t="s">
        <v>38</v>
      </c>
      <c r="C117" s="9">
        <v>130.0</v>
      </c>
      <c r="D117" s="10">
        <v>44.0</v>
      </c>
      <c r="E117" s="10">
        <v>81.0</v>
      </c>
      <c r="F117" s="10">
        <v>2021.0</v>
      </c>
      <c r="G117" s="10"/>
    </row>
    <row r="118">
      <c r="A118" s="7">
        <v>44496.0</v>
      </c>
      <c r="B118" s="8" t="s">
        <v>39</v>
      </c>
      <c r="C118" s="9">
        <v>308.0</v>
      </c>
      <c r="D118" s="10">
        <v>44.0</v>
      </c>
      <c r="E118" s="10">
        <v>81.0</v>
      </c>
      <c r="F118" s="10">
        <v>2021.0</v>
      </c>
      <c r="G118" s="10"/>
    </row>
    <row r="119">
      <c r="A119" s="7">
        <v>44496.0</v>
      </c>
      <c r="B119" s="8" t="s">
        <v>40</v>
      </c>
      <c r="C119" s="9">
        <v>285.0</v>
      </c>
      <c r="D119" s="10">
        <v>44.0</v>
      </c>
      <c r="E119" s="10">
        <v>81.0</v>
      </c>
      <c r="F119" s="10">
        <v>2021.0</v>
      </c>
      <c r="G119" s="10"/>
    </row>
    <row r="120">
      <c r="A120" s="7">
        <v>44503.0</v>
      </c>
      <c r="B120" s="8" t="s">
        <v>35</v>
      </c>
      <c r="C120" s="11">
        <v>1247.0</v>
      </c>
      <c r="D120" s="10">
        <v>45.0</v>
      </c>
      <c r="E120" s="10">
        <v>82.0</v>
      </c>
      <c r="F120" s="10">
        <v>2021.0</v>
      </c>
      <c r="G120" s="10"/>
    </row>
    <row r="121">
      <c r="A121" s="7">
        <v>44503.0</v>
      </c>
      <c r="B121" s="8" t="s">
        <v>36</v>
      </c>
      <c r="C121" s="11">
        <v>2555.0</v>
      </c>
      <c r="D121" s="10">
        <v>45.0</v>
      </c>
      <c r="E121" s="10">
        <v>82.0</v>
      </c>
      <c r="F121" s="10">
        <v>2021.0</v>
      </c>
      <c r="G121" s="10"/>
    </row>
    <row r="122">
      <c r="A122" s="7">
        <v>44503.0</v>
      </c>
      <c r="B122" s="8" t="s">
        <v>37</v>
      </c>
      <c r="C122" s="11">
        <v>2144.0</v>
      </c>
      <c r="D122" s="10">
        <v>45.0</v>
      </c>
      <c r="E122" s="10">
        <v>82.0</v>
      </c>
      <c r="F122" s="10">
        <v>2021.0</v>
      </c>
      <c r="G122" s="10"/>
    </row>
    <row r="123">
      <c r="A123" s="7">
        <v>44503.0</v>
      </c>
      <c r="B123" s="8" t="s">
        <v>38</v>
      </c>
      <c r="C123" s="9">
        <v>184.0</v>
      </c>
      <c r="D123" s="10">
        <v>45.0</v>
      </c>
      <c r="E123" s="10">
        <v>82.0</v>
      </c>
      <c r="F123" s="10">
        <v>2021.0</v>
      </c>
      <c r="G123" s="10"/>
    </row>
    <row r="124">
      <c r="A124" s="7">
        <v>44503.0</v>
      </c>
      <c r="B124" s="8" t="s">
        <v>39</v>
      </c>
      <c r="C124" s="9">
        <v>112.0</v>
      </c>
      <c r="D124" s="10">
        <v>45.0</v>
      </c>
      <c r="E124" s="10">
        <v>82.0</v>
      </c>
      <c r="F124" s="10">
        <v>2021.0</v>
      </c>
      <c r="G124" s="10"/>
    </row>
    <row r="125">
      <c r="A125" s="7">
        <v>44503.0</v>
      </c>
      <c r="B125" s="8" t="s">
        <v>40</v>
      </c>
      <c r="C125" s="9">
        <v>500.0</v>
      </c>
      <c r="D125" s="10">
        <v>45.0</v>
      </c>
      <c r="E125" s="10">
        <v>82.0</v>
      </c>
      <c r="F125" s="10">
        <v>2021.0</v>
      </c>
      <c r="G125" s="10"/>
    </row>
    <row r="126">
      <c r="A126" s="7">
        <v>44510.0</v>
      </c>
      <c r="B126" s="8" t="s">
        <v>35</v>
      </c>
      <c r="C126" s="9">
        <v>851.0</v>
      </c>
      <c r="D126" s="10">
        <v>46.0</v>
      </c>
      <c r="E126" s="10">
        <v>83.0</v>
      </c>
      <c r="F126" s="10">
        <v>2021.0</v>
      </c>
      <c r="G126" s="10"/>
    </row>
    <row r="127">
      <c r="A127" s="7">
        <v>44510.0</v>
      </c>
      <c r="B127" s="8" t="s">
        <v>36</v>
      </c>
      <c r="C127" s="11">
        <v>3728.0</v>
      </c>
      <c r="D127" s="10">
        <v>46.0</v>
      </c>
      <c r="E127" s="10">
        <v>83.0</v>
      </c>
      <c r="F127" s="10">
        <v>2021.0</v>
      </c>
      <c r="G127" s="10"/>
    </row>
    <row r="128">
      <c r="A128" s="7">
        <v>44510.0</v>
      </c>
      <c r="B128" s="8" t="s">
        <v>37</v>
      </c>
      <c r="C128" s="11">
        <v>1231.0</v>
      </c>
      <c r="D128" s="10">
        <v>46.0</v>
      </c>
      <c r="E128" s="10">
        <v>83.0</v>
      </c>
      <c r="F128" s="10">
        <v>2021.0</v>
      </c>
      <c r="G128" s="10"/>
    </row>
    <row r="129">
      <c r="A129" s="7">
        <v>44510.0</v>
      </c>
      <c r="B129" s="8" t="s">
        <v>38</v>
      </c>
      <c r="C129" s="9">
        <v>245.0</v>
      </c>
      <c r="D129" s="10">
        <v>46.0</v>
      </c>
      <c r="E129" s="10">
        <v>83.0</v>
      </c>
      <c r="F129" s="10">
        <v>2021.0</v>
      </c>
      <c r="G129" s="10"/>
    </row>
    <row r="130">
      <c r="A130" s="7">
        <v>44510.0</v>
      </c>
      <c r="B130" s="8" t="s">
        <v>39</v>
      </c>
      <c r="C130" s="9">
        <v>122.0</v>
      </c>
      <c r="D130" s="10">
        <v>46.0</v>
      </c>
      <c r="E130" s="10">
        <v>83.0</v>
      </c>
      <c r="F130" s="10">
        <v>2021.0</v>
      </c>
      <c r="G130" s="10"/>
    </row>
    <row r="131">
      <c r="A131" s="7">
        <v>44510.0</v>
      </c>
      <c r="B131" s="8" t="s">
        <v>40</v>
      </c>
      <c r="C131" s="9">
        <v>373.0</v>
      </c>
      <c r="D131" s="10">
        <v>46.0</v>
      </c>
      <c r="E131" s="10">
        <v>83.0</v>
      </c>
      <c r="F131" s="10">
        <v>2021.0</v>
      </c>
      <c r="G131" s="10"/>
    </row>
    <row r="132">
      <c r="A132" s="7">
        <v>44517.0</v>
      </c>
      <c r="B132" s="8" t="s">
        <v>35</v>
      </c>
      <c r="C132" s="9">
        <v>777.0</v>
      </c>
      <c r="D132" s="10">
        <v>47.0</v>
      </c>
      <c r="E132" s="10">
        <v>84.0</v>
      </c>
      <c r="F132" s="10">
        <v>2021.0</v>
      </c>
      <c r="G132" s="10"/>
    </row>
    <row r="133">
      <c r="A133" s="7">
        <v>44517.0</v>
      </c>
      <c r="B133" s="8" t="s">
        <v>41</v>
      </c>
      <c r="C133" s="9">
        <v>166.0</v>
      </c>
      <c r="D133" s="10">
        <v>47.0</v>
      </c>
      <c r="E133" s="10">
        <v>84.0</v>
      </c>
      <c r="F133" s="10">
        <v>2021.0</v>
      </c>
      <c r="G133" s="10"/>
    </row>
    <row r="134">
      <c r="A134" s="7">
        <v>44517.0</v>
      </c>
      <c r="B134" s="8" t="s">
        <v>36</v>
      </c>
      <c r="C134" s="11">
        <v>3517.0</v>
      </c>
      <c r="D134" s="10">
        <v>47.0</v>
      </c>
      <c r="E134" s="10">
        <v>84.0</v>
      </c>
      <c r="F134" s="10">
        <v>2021.0</v>
      </c>
      <c r="G134" s="10"/>
    </row>
    <row r="135">
      <c r="A135" s="7">
        <v>44517.0</v>
      </c>
      <c r="B135" s="8" t="s">
        <v>37</v>
      </c>
      <c r="C135" s="11">
        <v>1180.0</v>
      </c>
      <c r="D135" s="10">
        <v>47.0</v>
      </c>
      <c r="E135" s="10">
        <v>84.0</v>
      </c>
      <c r="F135" s="10">
        <v>2021.0</v>
      </c>
      <c r="G135" s="10"/>
    </row>
    <row r="136">
      <c r="A136" s="7">
        <v>44517.0</v>
      </c>
      <c r="B136" s="8" t="s">
        <v>38</v>
      </c>
      <c r="C136" s="9">
        <v>229.0</v>
      </c>
      <c r="D136" s="10">
        <v>47.0</v>
      </c>
      <c r="E136" s="10">
        <v>84.0</v>
      </c>
      <c r="F136" s="10">
        <v>2021.0</v>
      </c>
      <c r="G136" s="10"/>
    </row>
    <row r="137">
      <c r="A137" s="7">
        <v>44517.0</v>
      </c>
      <c r="B137" s="8" t="s">
        <v>39</v>
      </c>
      <c r="C137" s="9">
        <v>82.0</v>
      </c>
      <c r="D137" s="10">
        <v>47.0</v>
      </c>
      <c r="E137" s="10">
        <v>84.0</v>
      </c>
      <c r="F137" s="10">
        <v>2021.0</v>
      </c>
      <c r="G137" s="10"/>
    </row>
    <row r="138">
      <c r="A138" s="7">
        <v>44517.0</v>
      </c>
      <c r="B138" s="8" t="s">
        <v>40</v>
      </c>
      <c r="C138" s="9">
        <v>390.0</v>
      </c>
      <c r="D138" s="10">
        <v>47.0</v>
      </c>
      <c r="E138" s="10">
        <v>84.0</v>
      </c>
      <c r="F138" s="10">
        <v>2021.0</v>
      </c>
      <c r="G138" s="10"/>
    </row>
    <row r="139">
      <c r="A139" s="7">
        <v>44522.0</v>
      </c>
      <c r="B139" s="8" t="s">
        <v>35</v>
      </c>
      <c r="C139" s="9">
        <v>939.0</v>
      </c>
      <c r="D139" s="10">
        <v>48.0</v>
      </c>
      <c r="E139" s="10">
        <v>85.0</v>
      </c>
      <c r="F139" s="10">
        <v>2021.0</v>
      </c>
      <c r="G139" s="10"/>
    </row>
    <row r="140">
      <c r="A140" s="7">
        <v>44522.0</v>
      </c>
      <c r="B140" s="8" t="s">
        <v>41</v>
      </c>
      <c r="C140" s="9">
        <v>10.0</v>
      </c>
      <c r="D140" s="10">
        <v>48.0</v>
      </c>
      <c r="E140" s="10">
        <v>85.0</v>
      </c>
      <c r="F140" s="10">
        <v>2021.0</v>
      </c>
      <c r="G140" s="10"/>
    </row>
    <row r="141">
      <c r="A141" s="7">
        <v>44522.0</v>
      </c>
      <c r="B141" s="8" t="s">
        <v>36</v>
      </c>
      <c r="C141" s="11">
        <v>2720.0</v>
      </c>
      <c r="D141" s="10">
        <v>48.0</v>
      </c>
      <c r="E141" s="10">
        <v>85.0</v>
      </c>
      <c r="F141" s="10">
        <v>2021.0</v>
      </c>
      <c r="G141" s="10"/>
    </row>
    <row r="142">
      <c r="A142" s="7">
        <v>44522.0</v>
      </c>
      <c r="B142" s="8" t="s">
        <v>37</v>
      </c>
      <c r="C142" s="11">
        <v>2204.0</v>
      </c>
      <c r="D142" s="10">
        <v>48.0</v>
      </c>
      <c r="E142" s="10">
        <v>85.0</v>
      </c>
      <c r="F142" s="10">
        <v>2021.0</v>
      </c>
      <c r="G142" s="10"/>
    </row>
    <row r="143">
      <c r="A143" s="7">
        <v>44522.0</v>
      </c>
      <c r="B143" s="8" t="s">
        <v>38</v>
      </c>
      <c r="C143" s="9">
        <v>470.0</v>
      </c>
      <c r="D143" s="10">
        <v>48.0</v>
      </c>
      <c r="E143" s="10">
        <v>85.0</v>
      </c>
      <c r="F143" s="10">
        <v>2021.0</v>
      </c>
      <c r="G143" s="10"/>
    </row>
    <row r="144">
      <c r="A144" s="7">
        <v>44522.0</v>
      </c>
      <c r="B144" s="8" t="s">
        <v>40</v>
      </c>
      <c r="C144" s="9">
        <v>350.0</v>
      </c>
      <c r="D144" s="10">
        <v>48.0</v>
      </c>
      <c r="E144" s="10">
        <v>85.0</v>
      </c>
      <c r="F144" s="10">
        <v>2021.0</v>
      </c>
      <c r="G144" s="10"/>
    </row>
    <row r="145">
      <c r="A145" s="7">
        <v>44531.0</v>
      </c>
      <c r="B145" s="8" t="s">
        <v>35</v>
      </c>
      <c r="C145" s="9">
        <v>540.0</v>
      </c>
      <c r="D145" s="10">
        <v>49.0</v>
      </c>
      <c r="E145" s="10">
        <v>86.0</v>
      </c>
      <c r="F145" s="10">
        <v>2021.0</v>
      </c>
      <c r="G145" s="10"/>
    </row>
    <row r="146">
      <c r="A146" s="7">
        <v>44531.0</v>
      </c>
      <c r="B146" s="8" t="s">
        <v>36</v>
      </c>
      <c r="C146" s="11">
        <v>2432.0</v>
      </c>
      <c r="D146" s="10">
        <v>49.0</v>
      </c>
      <c r="E146" s="10">
        <v>86.0</v>
      </c>
      <c r="F146" s="10">
        <v>2021.0</v>
      </c>
      <c r="G146" s="10"/>
    </row>
    <row r="147">
      <c r="A147" s="7">
        <v>44531.0</v>
      </c>
      <c r="B147" s="8" t="s">
        <v>37</v>
      </c>
      <c r="C147" s="11">
        <v>1585.0</v>
      </c>
      <c r="D147" s="10">
        <v>49.0</v>
      </c>
      <c r="E147" s="10">
        <v>86.0</v>
      </c>
      <c r="F147" s="10">
        <v>2021.0</v>
      </c>
      <c r="G147" s="10"/>
    </row>
    <row r="148">
      <c r="A148" s="7">
        <v>44531.0</v>
      </c>
      <c r="B148" s="8" t="s">
        <v>38</v>
      </c>
      <c r="C148" s="9">
        <v>166.0</v>
      </c>
      <c r="D148" s="10">
        <v>49.0</v>
      </c>
      <c r="E148" s="10">
        <v>86.0</v>
      </c>
      <c r="F148" s="10">
        <v>2021.0</v>
      </c>
      <c r="G148" s="10"/>
    </row>
    <row r="149">
      <c r="A149" s="7">
        <v>44531.0</v>
      </c>
      <c r="B149" s="8" t="s">
        <v>39</v>
      </c>
      <c r="C149" s="9">
        <v>73.0</v>
      </c>
      <c r="D149" s="10">
        <v>49.0</v>
      </c>
      <c r="E149" s="10">
        <v>86.0</v>
      </c>
      <c r="F149" s="10">
        <v>2021.0</v>
      </c>
      <c r="G149" s="10"/>
    </row>
    <row r="150">
      <c r="A150" s="7">
        <v>44531.0</v>
      </c>
      <c r="B150" s="8" t="s">
        <v>40</v>
      </c>
      <c r="C150" s="9">
        <v>386.0</v>
      </c>
      <c r="D150" s="10">
        <v>49.0</v>
      </c>
      <c r="E150" s="10">
        <v>86.0</v>
      </c>
      <c r="F150" s="10">
        <v>2021.0</v>
      </c>
      <c r="G150" s="10"/>
    </row>
    <row r="151">
      <c r="A151" s="7">
        <v>44538.0</v>
      </c>
      <c r="B151" s="8" t="s">
        <v>35</v>
      </c>
      <c r="C151" s="9">
        <v>939.0</v>
      </c>
      <c r="D151" s="10">
        <v>50.0</v>
      </c>
      <c r="E151" s="10">
        <v>87.0</v>
      </c>
      <c r="F151" s="10">
        <v>2021.0</v>
      </c>
      <c r="G151" s="10"/>
    </row>
    <row r="152">
      <c r="A152" s="7">
        <v>44538.0</v>
      </c>
      <c r="B152" s="8" t="s">
        <v>41</v>
      </c>
      <c r="C152" s="9">
        <v>530.0</v>
      </c>
      <c r="D152" s="10">
        <v>50.0</v>
      </c>
      <c r="E152" s="10">
        <v>87.0</v>
      </c>
      <c r="F152" s="10">
        <v>2021.0</v>
      </c>
      <c r="G152" s="10"/>
    </row>
    <row r="153">
      <c r="A153" s="7">
        <v>44538.0</v>
      </c>
      <c r="B153" s="8" t="s">
        <v>36</v>
      </c>
      <c r="C153" s="11">
        <v>2553.0</v>
      </c>
      <c r="D153" s="10">
        <v>50.0</v>
      </c>
      <c r="E153" s="10">
        <v>87.0</v>
      </c>
      <c r="F153" s="10">
        <v>2021.0</v>
      </c>
      <c r="G153" s="10"/>
    </row>
    <row r="154">
      <c r="A154" s="7">
        <v>44538.0</v>
      </c>
      <c r="B154" s="8" t="s">
        <v>37</v>
      </c>
      <c r="C154" s="11">
        <v>1688.0</v>
      </c>
      <c r="D154" s="10">
        <v>50.0</v>
      </c>
      <c r="E154" s="10">
        <v>87.0</v>
      </c>
      <c r="F154" s="10">
        <v>2021.0</v>
      </c>
      <c r="G154" s="10"/>
    </row>
    <row r="155">
      <c r="A155" s="7">
        <v>44538.0</v>
      </c>
      <c r="B155" s="8" t="s">
        <v>38</v>
      </c>
      <c r="C155" s="9">
        <v>307.0</v>
      </c>
      <c r="D155" s="10">
        <v>50.0</v>
      </c>
      <c r="E155" s="10">
        <v>87.0</v>
      </c>
      <c r="F155" s="10">
        <v>2021.0</v>
      </c>
      <c r="G155" s="10"/>
    </row>
    <row r="156">
      <c r="A156" s="7">
        <v>44538.0</v>
      </c>
      <c r="B156" s="8" t="s">
        <v>39</v>
      </c>
      <c r="C156" s="9">
        <v>60.0</v>
      </c>
      <c r="D156" s="10">
        <v>50.0</v>
      </c>
      <c r="E156" s="10">
        <v>87.0</v>
      </c>
      <c r="F156" s="10">
        <v>2021.0</v>
      </c>
      <c r="G156" s="10"/>
    </row>
    <row r="157">
      <c r="A157" s="7">
        <v>44538.0</v>
      </c>
      <c r="B157" s="8" t="s">
        <v>40</v>
      </c>
      <c r="C157" s="9">
        <v>850.0</v>
      </c>
      <c r="D157" s="10">
        <v>50.0</v>
      </c>
      <c r="E157" s="10">
        <v>87.0</v>
      </c>
      <c r="F157" s="10">
        <v>2021.0</v>
      </c>
      <c r="G157" s="10"/>
    </row>
    <row r="158">
      <c r="A158" s="7">
        <v>44545.0</v>
      </c>
      <c r="B158" s="8" t="s">
        <v>35</v>
      </c>
      <c r="C158" s="9">
        <v>868.0</v>
      </c>
      <c r="D158" s="10">
        <v>51.0</v>
      </c>
      <c r="E158" s="10">
        <v>88.0</v>
      </c>
      <c r="F158" s="10">
        <v>2021.0</v>
      </c>
      <c r="G158" s="10"/>
    </row>
    <row r="159">
      <c r="A159" s="7">
        <v>44545.0</v>
      </c>
      <c r="B159" s="8" t="s">
        <v>41</v>
      </c>
      <c r="C159" s="9">
        <v>80.0</v>
      </c>
      <c r="D159" s="10">
        <v>51.0</v>
      </c>
      <c r="E159" s="10">
        <v>88.0</v>
      </c>
      <c r="F159" s="10">
        <v>2021.0</v>
      </c>
      <c r="G159" s="10"/>
    </row>
    <row r="160">
      <c r="A160" s="7">
        <v>44545.0</v>
      </c>
      <c r="B160" s="8" t="s">
        <v>36</v>
      </c>
      <c r="C160" s="11">
        <v>1890.0</v>
      </c>
      <c r="D160" s="10">
        <v>51.0</v>
      </c>
      <c r="E160" s="10">
        <v>88.0</v>
      </c>
      <c r="F160" s="10">
        <v>2021.0</v>
      </c>
      <c r="G160" s="10"/>
    </row>
    <row r="161">
      <c r="A161" s="7">
        <v>44545.0</v>
      </c>
      <c r="B161" s="8" t="s">
        <v>37</v>
      </c>
      <c r="C161" s="11">
        <v>2214.0</v>
      </c>
      <c r="D161" s="10">
        <v>51.0</v>
      </c>
      <c r="E161" s="10">
        <v>88.0</v>
      </c>
      <c r="F161" s="10">
        <v>2021.0</v>
      </c>
      <c r="G161" s="10"/>
    </row>
    <row r="162">
      <c r="A162" s="7">
        <v>44545.0</v>
      </c>
      <c r="B162" s="8" t="s">
        <v>38</v>
      </c>
      <c r="C162" s="9">
        <v>558.0</v>
      </c>
      <c r="D162" s="10">
        <v>51.0</v>
      </c>
      <c r="E162" s="10">
        <v>88.0</v>
      </c>
      <c r="F162" s="10">
        <v>2021.0</v>
      </c>
      <c r="G162" s="10"/>
    </row>
    <row r="163">
      <c r="A163" s="7">
        <v>44545.0</v>
      </c>
      <c r="B163" s="8" t="s">
        <v>39</v>
      </c>
      <c r="C163" s="9">
        <v>103.0</v>
      </c>
      <c r="D163" s="10">
        <v>51.0</v>
      </c>
      <c r="E163" s="10">
        <v>88.0</v>
      </c>
      <c r="F163" s="10">
        <v>2021.0</v>
      </c>
      <c r="G163" s="10"/>
    </row>
    <row r="164">
      <c r="A164" s="7">
        <v>44545.0</v>
      </c>
      <c r="B164" s="8" t="s">
        <v>40</v>
      </c>
      <c r="C164" s="9">
        <v>575.0</v>
      </c>
      <c r="D164" s="10">
        <v>51.0</v>
      </c>
      <c r="E164" s="10">
        <v>88.0</v>
      </c>
      <c r="F164" s="10">
        <v>2021.0</v>
      </c>
      <c r="G164" s="10"/>
    </row>
    <row r="165">
      <c r="A165" s="7">
        <v>44559.0</v>
      </c>
      <c r="B165" s="8" t="s">
        <v>34</v>
      </c>
      <c r="C165" s="11">
        <v>3000.0</v>
      </c>
      <c r="D165" s="10">
        <v>53.0</v>
      </c>
      <c r="E165" s="10">
        <v>90.0</v>
      </c>
      <c r="F165" s="10">
        <v>2021.0</v>
      </c>
      <c r="G165" s="10"/>
    </row>
    <row r="166">
      <c r="A166" s="7">
        <v>44564.0</v>
      </c>
      <c r="B166" s="8" t="s">
        <v>35</v>
      </c>
      <c r="C166" s="9">
        <v>818.0</v>
      </c>
      <c r="D166" s="10">
        <v>2.0</v>
      </c>
      <c r="E166" s="10">
        <v>92.0</v>
      </c>
      <c r="F166" s="10">
        <v>2022.0</v>
      </c>
      <c r="G166" s="10"/>
    </row>
    <row r="167">
      <c r="A167" s="7">
        <v>44564.0</v>
      </c>
      <c r="B167" s="8" t="s">
        <v>41</v>
      </c>
      <c r="C167" s="9">
        <v>106.0</v>
      </c>
      <c r="D167" s="10">
        <v>2.0</v>
      </c>
      <c r="E167" s="10">
        <v>92.0</v>
      </c>
      <c r="F167" s="10">
        <v>2022.0</v>
      </c>
      <c r="G167" s="10"/>
    </row>
    <row r="168">
      <c r="A168" s="7">
        <v>44564.0</v>
      </c>
      <c r="B168" s="8" t="s">
        <v>43</v>
      </c>
      <c r="C168" s="9">
        <v>120.0</v>
      </c>
      <c r="D168" s="10">
        <v>2.0</v>
      </c>
      <c r="E168" s="10">
        <v>92.0</v>
      </c>
      <c r="F168" s="10">
        <v>2022.0</v>
      </c>
      <c r="G168" s="10"/>
    </row>
    <row r="169">
      <c r="A169" s="7">
        <v>44566.0</v>
      </c>
      <c r="B169" s="8" t="s">
        <v>35</v>
      </c>
      <c r="C169" s="9">
        <v>438.0</v>
      </c>
      <c r="D169" s="10">
        <v>2.0</v>
      </c>
      <c r="E169" s="10">
        <v>92.0</v>
      </c>
      <c r="F169" s="10">
        <v>2022.0</v>
      </c>
      <c r="G169" s="10"/>
    </row>
    <row r="170">
      <c r="A170" s="7">
        <v>44566.0</v>
      </c>
      <c r="B170" s="8" t="s">
        <v>36</v>
      </c>
      <c r="C170" s="11">
        <v>3293.0</v>
      </c>
      <c r="D170" s="10">
        <v>2.0</v>
      </c>
      <c r="E170" s="10">
        <v>92.0</v>
      </c>
      <c r="F170" s="10">
        <v>2022.0</v>
      </c>
      <c r="G170" s="10"/>
    </row>
    <row r="171">
      <c r="A171" s="7">
        <v>44566.0</v>
      </c>
      <c r="B171" s="8" t="s">
        <v>37</v>
      </c>
      <c r="C171" s="11">
        <v>1292.0</v>
      </c>
      <c r="D171" s="10">
        <v>2.0</v>
      </c>
      <c r="E171" s="10">
        <v>92.0</v>
      </c>
      <c r="F171" s="10">
        <v>2022.0</v>
      </c>
      <c r="G171" s="10"/>
    </row>
    <row r="172">
      <c r="A172" s="7">
        <v>44566.0</v>
      </c>
      <c r="B172" s="8" t="s">
        <v>38</v>
      </c>
      <c r="C172" s="9">
        <v>371.0</v>
      </c>
      <c r="D172" s="10">
        <v>2.0</v>
      </c>
      <c r="E172" s="10">
        <v>92.0</v>
      </c>
      <c r="F172" s="10">
        <v>2022.0</v>
      </c>
      <c r="G172" s="10"/>
    </row>
    <row r="173">
      <c r="A173" s="7">
        <v>44566.0</v>
      </c>
      <c r="B173" s="8" t="s">
        <v>40</v>
      </c>
      <c r="C173" s="11">
        <v>1013.0</v>
      </c>
      <c r="D173" s="10">
        <v>2.0</v>
      </c>
      <c r="E173" s="10">
        <v>92.0</v>
      </c>
      <c r="F173" s="10">
        <v>2022.0</v>
      </c>
      <c r="G173" s="10"/>
    </row>
    <row r="174">
      <c r="A174" s="7">
        <v>44573.0</v>
      </c>
      <c r="B174" s="8" t="s">
        <v>35</v>
      </c>
      <c r="C174" s="9">
        <v>706.0</v>
      </c>
      <c r="D174" s="10">
        <v>3.0</v>
      </c>
      <c r="E174" s="10">
        <v>93.0</v>
      </c>
      <c r="F174" s="10">
        <v>2022.0</v>
      </c>
      <c r="G174" s="10"/>
    </row>
    <row r="175">
      <c r="A175" s="7">
        <v>44573.0</v>
      </c>
      <c r="B175" s="8" t="s">
        <v>41</v>
      </c>
      <c r="C175" s="9">
        <v>12.0</v>
      </c>
      <c r="D175" s="10">
        <v>3.0</v>
      </c>
      <c r="E175" s="10">
        <v>93.0</v>
      </c>
      <c r="F175" s="10">
        <v>2022.0</v>
      </c>
      <c r="G175" s="10"/>
    </row>
    <row r="176">
      <c r="A176" s="7">
        <v>44573.0</v>
      </c>
      <c r="B176" s="8" t="s">
        <v>36</v>
      </c>
      <c r="C176" s="11">
        <v>3097.0</v>
      </c>
      <c r="D176" s="10">
        <v>3.0</v>
      </c>
      <c r="E176" s="10">
        <v>93.0</v>
      </c>
      <c r="F176" s="10">
        <v>2022.0</v>
      </c>
      <c r="G176" s="10"/>
    </row>
    <row r="177">
      <c r="A177" s="7">
        <v>44573.0</v>
      </c>
      <c r="B177" s="8" t="s">
        <v>37</v>
      </c>
      <c r="C177" s="11">
        <v>2400.0</v>
      </c>
      <c r="D177" s="10">
        <v>3.0</v>
      </c>
      <c r="E177" s="10">
        <v>93.0</v>
      </c>
      <c r="F177" s="10">
        <v>2022.0</v>
      </c>
      <c r="G177" s="10"/>
    </row>
    <row r="178">
      <c r="A178" s="7">
        <v>44573.0</v>
      </c>
      <c r="B178" s="8" t="s">
        <v>42</v>
      </c>
      <c r="C178" s="9">
        <v>428.0</v>
      </c>
      <c r="D178" s="10">
        <v>3.0</v>
      </c>
      <c r="E178" s="10">
        <v>93.0</v>
      </c>
      <c r="F178" s="10">
        <v>2022.0</v>
      </c>
      <c r="G178" s="10"/>
    </row>
    <row r="179">
      <c r="A179" s="7">
        <v>44573.0</v>
      </c>
      <c r="B179" s="8" t="s">
        <v>40</v>
      </c>
      <c r="C179" s="9">
        <v>253.0</v>
      </c>
      <c r="D179" s="10">
        <v>3.0</v>
      </c>
      <c r="E179" s="10">
        <v>93.0</v>
      </c>
      <c r="F179" s="10">
        <v>2022.0</v>
      </c>
      <c r="G179" s="10"/>
    </row>
    <row r="180">
      <c r="A180" s="7">
        <v>44573.0</v>
      </c>
      <c r="B180" s="8" t="s">
        <v>43</v>
      </c>
      <c r="C180" s="9">
        <v>161.0</v>
      </c>
      <c r="D180" s="10">
        <v>3.0</v>
      </c>
      <c r="E180" s="10">
        <v>93.0</v>
      </c>
      <c r="F180" s="10">
        <v>2022.0</v>
      </c>
      <c r="G180" s="10"/>
    </row>
    <row r="181">
      <c r="A181" s="7">
        <v>44578.0</v>
      </c>
      <c r="B181" s="8" t="s">
        <v>35</v>
      </c>
      <c r="C181" s="9">
        <v>900.0</v>
      </c>
      <c r="D181" s="10">
        <v>4.0</v>
      </c>
      <c r="E181" s="10">
        <v>94.0</v>
      </c>
      <c r="F181" s="10">
        <v>2022.0</v>
      </c>
      <c r="G181" s="10"/>
    </row>
    <row r="182">
      <c r="A182" s="7">
        <v>44578.0</v>
      </c>
      <c r="B182" s="8" t="s">
        <v>36</v>
      </c>
      <c r="C182" s="11">
        <v>5033.0</v>
      </c>
      <c r="D182" s="10">
        <v>4.0</v>
      </c>
      <c r="E182" s="10">
        <v>94.0</v>
      </c>
      <c r="F182" s="10">
        <v>2022.0</v>
      </c>
      <c r="G182" s="10"/>
    </row>
    <row r="183">
      <c r="A183" s="7">
        <v>44578.0</v>
      </c>
      <c r="B183" s="8" t="s">
        <v>37</v>
      </c>
      <c r="C183" s="9">
        <v>879.0</v>
      </c>
      <c r="D183" s="10">
        <v>4.0</v>
      </c>
      <c r="E183" s="10">
        <v>94.0</v>
      </c>
      <c r="F183" s="10">
        <v>2022.0</v>
      </c>
      <c r="G183" s="10"/>
    </row>
    <row r="184">
      <c r="A184" s="7">
        <v>44578.0</v>
      </c>
      <c r="B184" s="8" t="s">
        <v>42</v>
      </c>
      <c r="C184" s="9">
        <v>225.0</v>
      </c>
      <c r="D184" s="10">
        <v>4.0</v>
      </c>
      <c r="E184" s="10">
        <v>94.0</v>
      </c>
      <c r="F184" s="10">
        <v>2022.0</v>
      </c>
      <c r="G184" s="10"/>
    </row>
    <row r="185">
      <c r="A185" s="7">
        <v>44578.0</v>
      </c>
      <c r="B185" s="8" t="s">
        <v>40</v>
      </c>
      <c r="C185" s="9">
        <v>513.0</v>
      </c>
      <c r="D185" s="10">
        <v>4.0</v>
      </c>
      <c r="E185" s="10">
        <v>94.0</v>
      </c>
      <c r="F185" s="10">
        <v>2022.0</v>
      </c>
      <c r="G185" s="10"/>
    </row>
    <row r="186">
      <c r="A186" s="7">
        <v>44580.0</v>
      </c>
      <c r="B186" s="8" t="s">
        <v>35</v>
      </c>
      <c r="C186" s="9">
        <v>649.0</v>
      </c>
      <c r="D186" s="10">
        <v>4.0</v>
      </c>
      <c r="E186" s="10">
        <v>94.0</v>
      </c>
      <c r="F186" s="10">
        <v>2022.0</v>
      </c>
      <c r="G186" s="10"/>
    </row>
    <row r="187">
      <c r="A187" s="7">
        <v>44580.0</v>
      </c>
      <c r="B187" s="8" t="s">
        <v>41</v>
      </c>
      <c r="C187" s="9">
        <v>566.0</v>
      </c>
      <c r="D187" s="10">
        <v>4.0</v>
      </c>
      <c r="E187" s="10">
        <v>94.0</v>
      </c>
      <c r="F187" s="10">
        <v>2022.0</v>
      </c>
      <c r="G187" s="10"/>
    </row>
    <row r="188">
      <c r="A188" s="7">
        <v>44580.0</v>
      </c>
      <c r="B188" s="8" t="s">
        <v>36</v>
      </c>
      <c r="C188" s="11">
        <v>2412.0</v>
      </c>
      <c r="D188" s="10">
        <v>4.0</v>
      </c>
      <c r="E188" s="10">
        <v>94.0</v>
      </c>
      <c r="F188" s="10">
        <v>2022.0</v>
      </c>
      <c r="G188" s="10"/>
    </row>
    <row r="189">
      <c r="A189" s="7">
        <v>44580.0</v>
      </c>
      <c r="B189" s="8" t="s">
        <v>37</v>
      </c>
      <c r="C189" s="11">
        <v>4109.0</v>
      </c>
      <c r="D189" s="10">
        <v>4.0</v>
      </c>
      <c r="E189" s="10">
        <v>94.0</v>
      </c>
      <c r="F189" s="10">
        <v>2022.0</v>
      </c>
      <c r="G189" s="10"/>
    </row>
    <row r="190">
      <c r="A190" s="7">
        <v>44580.0</v>
      </c>
      <c r="B190" s="8" t="s">
        <v>38</v>
      </c>
      <c r="C190" s="9">
        <v>351.0</v>
      </c>
      <c r="D190" s="10">
        <v>4.0</v>
      </c>
      <c r="E190" s="10">
        <v>94.0</v>
      </c>
      <c r="F190" s="10">
        <v>2022.0</v>
      </c>
      <c r="G190" s="10"/>
    </row>
    <row r="191">
      <c r="A191" s="7">
        <v>44580.0</v>
      </c>
      <c r="B191" s="8" t="s">
        <v>42</v>
      </c>
      <c r="C191" s="9">
        <v>263.0</v>
      </c>
      <c r="D191" s="10">
        <v>4.0</v>
      </c>
      <c r="E191" s="10">
        <v>94.0</v>
      </c>
      <c r="F191" s="10">
        <v>2022.0</v>
      </c>
      <c r="G191" s="10"/>
    </row>
    <row r="192">
      <c r="A192" s="7">
        <v>44580.0</v>
      </c>
      <c r="B192" s="8" t="s">
        <v>40</v>
      </c>
      <c r="C192" s="9">
        <v>162.0</v>
      </c>
      <c r="D192" s="10">
        <v>4.0</v>
      </c>
      <c r="E192" s="10">
        <v>94.0</v>
      </c>
      <c r="F192" s="10">
        <v>2022.0</v>
      </c>
      <c r="G192" s="10"/>
    </row>
    <row r="193">
      <c r="A193" s="7">
        <v>44587.0</v>
      </c>
      <c r="B193" s="8" t="s">
        <v>35</v>
      </c>
      <c r="C193" s="9">
        <v>842.0</v>
      </c>
      <c r="D193" s="10">
        <v>5.0</v>
      </c>
      <c r="E193" s="10">
        <v>95.0</v>
      </c>
      <c r="F193" s="10">
        <v>2022.0</v>
      </c>
      <c r="G193" s="10"/>
    </row>
    <row r="194">
      <c r="A194" s="7">
        <v>44587.0</v>
      </c>
      <c r="B194" s="8" t="s">
        <v>41</v>
      </c>
      <c r="C194" s="9">
        <v>28.0</v>
      </c>
      <c r="D194" s="10">
        <v>5.0</v>
      </c>
      <c r="E194" s="10">
        <v>95.0</v>
      </c>
      <c r="F194" s="10">
        <v>2022.0</v>
      </c>
      <c r="G194" s="10"/>
    </row>
    <row r="195">
      <c r="A195" s="7">
        <v>44587.0</v>
      </c>
      <c r="B195" s="8" t="s">
        <v>36</v>
      </c>
      <c r="C195" s="11">
        <v>3975.0</v>
      </c>
      <c r="D195" s="10">
        <v>5.0</v>
      </c>
      <c r="E195" s="10">
        <v>95.0</v>
      </c>
      <c r="F195" s="10">
        <v>2022.0</v>
      </c>
      <c r="G195" s="10"/>
    </row>
    <row r="196">
      <c r="A196" s="7">
        <v>44587.0</v>
      </c>
      <c r="B196" s="8" t="s">
        <v>37</v>
      </c>
      <c r="C196" s="11">
        <v>2210.0</v>
      </c>
      <c r="D196" s="10">
        <v>5.0</v>
      </c>
      <c r="E196" s="10">
        <v>95.0</v>
      </c>
      <c r="F196" s="10">
        <v>2022.0</v>
      </c>
      <c r="G196" s="10"/>
    </row>
    <row r="197">
      <c r="A197" s="7">
        <v>44587.0</v>
      </c>
      <c r="B197" s="8" t="s">
        <v>38</v>
      </c>
      <c r="C197" s="9">
        <v>282.0</v>
      </c>
      <c r="D197" s="10">
        <v>5.0</v>
      </c>
      <c r="E197" s="10">
        <v>95.0</v>
      </c>
      <c r="F197" s="10">
        <v>2022.0</v>
      </c>
      <c r="G197" s="10"/>
    </row>
    <row r="198">
      <c r="A198" s="7">
        <v>44587.0</v>
      </c>
      <c r="B198" s="8" t="s">
        <v>40</v>
      </c>
      <c r="C198" s="9">
        <v>755.0</v>
      </c>
      <c r="D198" s="10">
        <v>5.0</v>
      </c>
      <c r="E198" s="10">
        <v>95.0</v>
      </c>
      <c r="F198" s="10">
        <v>2022.0</v>
      </c>
      <c r="G198" s="10"/>
    </row>
    <row r="199">
      <c r="A199" s="7">
        <v>44594.0</v>
      </c>
      <c r="B199" s="8" t="s">
        <v>35</v>
      </c>
      <c r="C199" s="9">
        <v>974.0</v>
      </c>
      <c r="D199" s="10">
        <v>6.0</v>
      </c>
      <c r="E199" s="10">
        <v>96.0</v>
      </c>
      <c r="F199" s="10">
        <v>2022.0</v>
      </c>
      <c r="G199" s="10"/>
    </row>
    <row r="200">
      <c r="A200" s="7">
        <v>44594.0</v>
      </c>
      <c r="B200" s="8" t="s">
        <v>41</v>
      </c>
      <c r="C200" s="9">
        <v>39.0</v>
      </c>
      <c r="D200" s="10">
        <v>6.0</v>
      </c>
      <c r="E200" s="10">
        <v>96.0</v>
      </c>
      <c r="F200" s="10">
        <v>2022.0</v>
      </c>
      <c r="G200" s="10"/>
    </row>
    <row r="201">
      <c r="A201" s="7">
        <v>44594.0</v>
      </c>
      <c r="B201" s="8" t="s">
        <v>36</v>
      </c>
      <c r="C201" s="11">
        <v>2478.0</v>
      </c>
      <c r="D201" s="10">
        <v>6.0</v>
      </c>
      <c r="E201" s="10">
        <v>96.0</v>
      </c>
      <c r="F201" s="10">
        <v>2022.0</v>
      </c>
      <c r="G201" s="10"/>
    </row>
    <row r="202">
      <c r="A202" s="7">
        <v>44594.0</v>
      </c>
      <c r="B202" s="8" t="s">
        <v>37</v>
      </c>
      <c r="C202" s="11">
        <v>2011.0</v>
      </c>
      <c r="D202" s="10">
        <v>6.0</v>
      </c>
      <c r="E202" s="10">
        <v>96.0</v>
      </c>
      <c r="F202" s="10">
        <v>2022.0</v>
      </c>
      <c r="G202" s="10"/>
    </row>
    <row r="203">
      <c r="A203" s="7">
        <v>44594.0</v>
      </c>
      <c r="B203" s="8" t="s">
        <v>44</v>
      </c>
      <c r="C203" s="9">
        <v>185.0</v>
      </c>
      <c r="D203" s="10">
        <v>6.0</v>
      </c>
      <c r="E203" s="10">
        <v>96.0</v>
      </c>
      <c r="F203" s="10">
        <v>2022.0</v>
      </c>
      <c r="G203" s="10"/>
    </row>
    <row r="204">
      <c r="A204" s="7">
        <v>44594.0</v>
      </c>
      <c r="B204" s="8" t="s">
        <v>38</v>
      </c>
      <c r="C204" s="9">
        <v>252.0</v>
      </c>
      <c r="D204" s="10">
        <v>6.0</v>
      </c>
      <c r="E204" s="10">
        <v>96.0</v>
      </c>
      <c r="F204" s="10">
        <v>2022.0</v>
      </c>
      <c r="G204" s="10"/>
    </row>
    <row r="205">
      <c r="A205" s="7">
        <v>44594.0</v>
      </c>
      <c r="B205" s="8" t="s">
        <v>42</v>
      </c>
      <c r="C205" s="9">
        <v>530.0</v>
      </c>
      <c r="D205" s="10">
        <v>6.0</v>
      </c>
      <c r="E205" s="10">
        <v>96.0</v>
      </c>
      <c r="F205" s="10">
        <v>2022.0</v>
      </c>
      <c r="G205" s="10"/>
    </row>
    <row r="206">
      <c r="A206" s="7">
        <v>44594.0</v>
      </c>
      <c r="B206" s="8" t="s">
        <v>39</v>
      </c>
      <c r="C206" s="9">
        <v>239.0</v>
      </c>
      <c r="D206" s="10">
        <v>6.0</v>
      </c>
      <c r="E206" s="10">
        <v>96.0</v>
      </c>
      <c r="F206" s="10">
        <v>2022.0</v>
      </c>
      <c r="G206" s="10"/>
    </row>
    <row r="207">
      <c r="A207" s="7">
        <v>44594.0</v>
      </c>
      <c r="B207" s="8" t="s">
        <v>40</v>
      </c>
      <c r="C207" s="9">
        <v>120.0</v>
      </c>
      <c r="D207" s="10">
        <v>6.0</v>
      </c>
      <c r="E207" s="10">
        <v>96.0</v>
      </c>
      <c r="F207" s="10">
        <v>2022.0</v>
      </c>
      <c r="G207" s="10"/>
    </row>
    <row r="208">
      <c r="A208" s="7">
        <v>44601.0</v>
      </c>
      <c r="B208" s="8" t="s">
        <v>35</v>
      </c>
      <c r="C208" s="11">
        <v>2236.0</v>
      </c>
      <c r="D208" s="10">
        <v>7.0</v>
      </c>
      <c r="E208" s="10">
        <v>97.0</v>
      </c>
      <c r="F208" s="10">
        <v>2022.0</v>
      </c>
      <c r="G208" s="10"/>
    </row>
    <row r="209">
      <c r="A209" s="7">
        <v>44601.0</v>
      </c>
      <c r="B209" s="8" t="s">
        <v>41</v>
      </c>
      <c r="C209" s="9">
        <v>84.0</v>
      </c>
      <c r="D209" s="10">
        <v>7.0</v>
      </c>
      <c r="E209" s="10">
        <v>97.0</v>
      </c>
      <c r="F209" s="10">
        <v>2022.0</v>
      </c>
      <c r="G209" s="10"/>
    </row>
    <row r="210">
      <c r="A210" s="7">
        <v>44601.0</v>
      </c>
      <c r="B210" s="8" t="s">
        <v>36</v>
      </c>
      <c r="C210" s="11">
        <v>2341.0</v>
      </c>
      <c r="D210" s="10">
        <v>7.0</v>
      </c>
      <c r="E210" s="10">
        <v>97.0</v>
      </c>
      <c r="F210" s="10">
        <v>2022.0</v>
      </c>
      <c r="G210" s="10"/>
    </row>
    <row r="211">
      <c r="A211" s="7">
        <v>44601.0</v>
      </c>
      <c r="B211" s="8" t="s">
        <v>37</v>
      </c>
      <c r="C211" s="11">
        <v>1861.0</v>
      </c>
      <c r="D211" s="10">
        <v>7.0</v>
      </c>
      <c r="E211" s="10">
        <v>97.0</v>
      </c>
      <c r="F211" s="10">
        <v>2022.0</v>
      </c>
      <c r="G211" s="10"/>
    </row>
    <row r="212">
      <c r="A212" s="7">
        <v>44601.0</v>
      </c>
      <c r="B212" s="8" t="s">
        <v>44</v>
      </c>
      <c r="C212" s="9">
        <v>130.0</v>
      </c>
      <c r="D212" s="10">
        <v>7.0</v>
      </c>
      <c r="E212" s="10">
        <v>97.0</v>
      </c>
      <c r="F212" s="10">
        <v>2022.0</v>
      </c>
      <c r="G212" s="10"/>
    </row>
    <row r="213">
      <c r="A213" s="7">
        <v>44601.0</v>
      </c>
      <c r="B213" s="8" t="s">
        <v>38</v>
      </c>
      <c r="C213" s="9">
        <v>344.0</v>
      </c>
      <c r="D213" s="10">
        <v>7.0</v>
      </c>
      <c r="E213" s="10">
        <v>97.0</v>
      </c>
      <c r="F213" s="10">
        <v>2022.0</v>
      </c>
      <c r="G213" s="10"/>
    </row>
    <row r="214">
      <c r="A214" s="7">
        <v>44601.0</v>
      </c>
      <c r="B214" s="8" t="s">
        <v>42</v>
      </c>
      <c r="C214" s="9">
        <v>335.0</v>
      </c>
      <c r="D214" s="10">
        <v>7.0</v>
      </c>
      <c r="E214" s="10">
        <v>97.0</v>
      </c>
      <c r="F214" s="10">
        <v>2022.0</v>
      </c>
      <c r="G214" s="10"/>
    </row>
    <row r="215">
      <c r="A215" s="7">
        <v>44601.0</v>
      </c>
      <c r="B215" s="8" t="s">
        <v>39</v>
      </c>
      <c r="C215" s="9">
        <v>100.0</v>
      </c>
      <c r="D215" s="10">
        <v>7.0</v>
      </c>
      <c r="E215" s="10">
        <v>97.0</v>
      </c>
      <c r="F215" s="10">
        <v>2022.0</v>
      </c>
      <c r="G215" s="10"/>
    </row>
    <row r="216">
      <c r="A216" s="7">
        <v>44601.0</v>
      </c>
      <c r="B216" s="8" t="s">
        <v>40</v>
      </c>
      <c r="C216" s="9">
        <v>401.0</v>
      </c>
      <c r="D216" s="10">
        <v>7.0</v>
      </c>
      <c r="E216" s="10">
        <v>97.0</v>
      </c>
      <c r="F216" s="10">
        <v>2022.0</v>
      </c>
      <c r="G216" s="10"/>
    </row>
    <row r="217">
      <c r="A217" s="7">
        <v>44608.0</v>
      </c>
      <c r="B217" s="8" t="s">
        <v>35</v>
      </c>
      <c r="C217" s="11">
        <v>1801.0</v>
      </c>
      <c r="D217" s="10">
        <v>8.0</v>
      </c>
      <c r="E217" s="10">
        <v>98.0</v>
      </c>
      <c r="F217" s="10">
        <v>2022.0</v>
      </c>
      <c r="G217" s="10"/>
    </row>
    <row r="218">
      <c r="A218" s="7">
        <v>44608.0</v>
      </c>
      <c r="B218" s="8" t="s">
        <v>41</v>
      </c>
      <c r="C218" s="9">
        <v>165.0</v>
      </c>
      <c r="D218" s="10">
        <v>8.0</v>
      </c>
      <c r="E218" s="10">
        <v>98.0</v>
      </c>
      <c r="F218" s="10">
        <v>2022.0</v>
      </c>
      <c r="G218" s="10"/>
    </row>
    <row r="219">
      <c r="A219" s="7">
        <v>44608.0</v>
      </c>
      <c r="B219" s="8" t="s">
        <v>36</v>
      </c>
      <c r="C219" s="11">
        <v>4550.0</v>
      </c>
      <c r="D219" s="10">
        <v>8.0</v>
      </c>
      <c r="E219" s="10">
        <v>98.0</v>
      </c>
      <c r="F219" s="10">
        <v>2022.0</v>
      </c>
      <c r="G219" s="10"/>
    </row>
    <row r="220">
      <c r="A220" s="7">
        <v>44608.0</v>
      </c>
      <c r="B220" s="8" t="s">
        <v>37</v>
      </c>
      <c r="C220" s="11">
        <v>2311.0</v>
      </c>
      <c r="D220" s="10">
        <v>8.0</v>
      </c>
      <c r="E220" s="10">
        <v>98.0</v>
      </c>
      <c r="F220" s="10">
        <v>2022.0</v>
      </c>
      <c r="G220" s="10"/>
    </row>
    <row r="221">
      <c r="A221" s="7">
        <v>44608.0</v>
      </c>
      <c r="B221" s="8" t="s">
        <v>44</v>
      </c>
      <c r="C221" s="9">
        <v>224.0</v>
      </c>
      <c r="D221" s="10">
        <v>8.0</v>
      </c>
      <c r="E221" s="10">
        <v>98.0</v>
      </c>
      <c r="F221" s="10">
        <v>2022.0</v>
      </c>
      <c r="G221" s="10"/>
    </row>
    <row r="222">
      <c r="A222" s="7">
        <v>44608.0</v>
      </c>
      <c r="B222" s="8" t="s">
        <v>38</v>
      </c>
      <c r="C222" s="9">
        <v>462.0</v>
      </c>
      <c r="D222" s="10">
        <v>8.0</v>
      </c>
      <c r="E222" s="10">
        <v>98.0</v>
      </c>
      <c r="F222" s="10">
        <v>2022.0</v>
      </c>
      <c r="G222" s="10"/>
    </row>
    <row r="223">
      <c r="A223" s="7">
        <v>44608.0</v>
      </c>
      <c r="B223" s="8" t="s">
        <v>42</v>
      </c>
      <c r="C223" s="9">
        <v>276.0</v>
      </c>
      <c r="D223" s="10">
        <v>8.0</v>
      </c>
      <c r="E223" s="10">
        <v>98.0</v>
      </c>
      <c r="F223" s="10">
        <v>2022.0</v>
      </c>
      <c r="G223" s="10"/>
    </row>
    <row r="224">
      <c r="A224" s="7">
        <v>44608.0</v>
      </c>
      <c r="B224" s="8" t="s">
        <v>40</v>
      </c>
      <c r="C224" s="9">
        <v>486.0</v>
      </c>
      <c r="D224" s="10">
        <v>8.0</v>
      </c>
      <c r="E224" s="10">
        <v>98.0</v>
      </c>
      <c r="F224" s="10">
        <v>2022.0</v>
      </c>
      <c r="G224" s="10"/>
    </row>
    <row r="225">
      <c r="A225" s="7">
        <v>44609.0</v>
      </c>
      <c r="B225" s="8" t="s">
        <v>34</v>
      </c>
      <c r="C225" s="11">
        <v>5418.0</v>
      </c>
      <c r="D225" s="10">
        <v>8.0</v>
      </c>
      <c r="E225" s="10">
        <v>98.0</v>
      </c>
      <c r="F225" s="10">
        <v>2022.0</v>
      </c>
      <c r="G225" s="10"/>
    </row>
    <row r="226">
      <c r="A226" s="7">
        <v>44615.0</v>
      </c>
      <c r="B226" s="8" t="s">
        <v>35</v>
      </c>
      <c r="C226" s="11">
        <v>1190.0</v>
      </c>
      <c r="D226" s="10">
        <v>9.0</v>
      </c>
      <c r="E226" s="10">
        <v>99.0</v>
      </c>
      <c r="F226" s="10">
        <v>2022.0</v>
      </c>
      <c r="G226" s="10"/>
    </row>
    <row r="227">
      <c r="A227" s="7">
        <v>44615.0</v>
      </c>
      <c r="B227" s="8" t="s">
        <v>36</v>
      </c>
      <c r="C227" s="11">
        <v>3564.0</v>
      </c>
      <c r="D227" s="10">
        <v>9.0</v>
      </c>
      <c r="E227" s="10">
        <v>99.0</v>
      </c>
      <c r="F227" s="10">
        <v>2022.0</v>
      </c>
      <c r="G227" s="10"/>
    </row>
    <row r="228">
      <c r="A228" s="7">
        <v>44615.0</v>
      </c>
      <c r="B228" s="8" t="s">
        <v>37</v>
      </c>
      <c r="C228" s="11">
        <v>1803.0</v>
      </c>
      <c r="D228" s="10">
        <v>9.0</v>
      </c>
      <c r="E228" s="10">
        <v>99.0</v>
      </c>
      <c r="F228" s="10">
        <v>2022.0</v>
      </c>
      <c r="G228" s="10"/>
    </row>
    <row r="229">
      <c r="A229" s="7">
        <v>44615.0</v>
      </c>
      <c r="B229" s="8" t="s">
        <v>44</v>
      </c>
      <c r="C229" s="9">
        <v>304.0</v>
      </c>
      <c r="D229" s="10">
        <v>9.0</v>
      </c>
      <c r="E229" s="10">
        <v>99.0</v>
      </c>
      <c r="F229" s="10">
        <v>2022.0</v>
      </c>
      <c r="G229" s="10"/>
    </row>
    <row r="230">
      <c r="A230" s="7">
        <v>44615.0</v>
      </c>
      <c r="B230" s="8" t="s">
        <v>38</v>
      </c>
      <c r="C230" s="9">
        <v>551.0</v>
      </c>
      <c r="D230" s="10">
        <v>9.0</v>
      </c>
      <c r="E230" s="10">
        <v>99.0</v>
      </c>
      <c r="F230" s="10">
        <v>2022.0</v>
      </c>
      <c r="G230" s="10"/>
    </row>
    <row r="231">
      <c r="A231" s="7">
        <v>44615.0</v>
      </c>
      <c r="B231" s="8" t="s">
        <v>42</v>
      </c>
      <c r="C231" s="9">
        <v>422.0</v>
      </c>
      <c r="D231" s="10">
        <v>9.0</v>
      </c>
      <c r="E231" s="10">
        <v>99.0</v>
      </c>
      <c r="F231" s="10">
        <v>2022.0</v>
      </c>
      <c r="G231" s="10"/>
    </row>
    <row r="232">
      <c r="A232" s="7">
        <v>44615.0</v>
      </c>
      <c r="B232" s="8" t="s">
        <v>39</v>
      </c>
      <c r="C232" s="9">
        <v>200.0</v>
      </c>
      <c r="D232" s="10">
        <v>9.0</v>
      </c>
      <c r="E232" s="10">
        <v>99.0</v>
      </c>
      <c r="F232" s="10">
        <v>2022.0</v>
      </c>
      <c r="G232" s="10"/>
    </row>
    <row r="233">
      <c r="A233" s="7">
        <v>44615.0</v>
      </c>
      <c r="B233" s="8" t="s">
        <v>40</v>
      </c>
      <c r="C233" s="9">
        <v>442.0</v>
      </c>
      <c r="D233" s="10">
        <v>9.0</v>
      </c>
      <c r="E233" s="10">
        <v>99.0</v>
      </c>
      <c r="F233" s="10">
        <v>2022.0</v>
      </c>
      <c r="G233" s="10"/>
    </row>
    <row r="234">
      <c r="A234" s="7">
        <v>44622.0</v>
      </c>
      <c r="B234" s="8" t="s">
        <v>35</v>
      </c>
      <c r="C234" s="11">
        <v>1569.0</v>
      </c>
      <c r="D234" s="10">
        <v>10.0</v>
      </c>
      <c r="E234" s="10">
        <v>100.0</v>
      </c>
      <c r="F234" s="10">
        <v>2022.0</v>
      </c>
      <c r="G234" s="10"/>
    </row>
    <row r="235">
      <c r="A235" s="7">
        <v>44622.0</v>
      </c>
      <c r="B235" s="8" t="s">
        <v>41</v>
      </c>
      <c r="C235" s="9">
        <v>68.0</v>
      </c>
      <c r="D235" s="10">
        <v>10.0</v>
      </c>
      <c r="E235" s="10">
        <v>100.0</v>
      </c>
      <c r="F235" s="10">
        <v>2022.0</v>
      </c>
      <c r="G235" s="10"/>
    </row>
    <row r="236">
      <c r="A236" s="7">
        <v>44622.0</v>
      </c>
      <c r="B236" s="8" t="s">
        <v>36</v>
      </c>
      <c r="C236" s="11">
        <v>3121.0</v>
      </c>
      <c r="D236" s="10">
        <v>10.0</v>
      </c>
      <c r="E236" s="10">
        <v>100.0</v>
      </c>
      <c r="F236" s="10">
        <v>2022.0</v>
      </c>
      <c r="G236" s="10"/>
    </row>
    <row r="237">
      <c r="A237" s="7">
        <v>44622.0</v>
      </c>
      <c r="B237" s="8" t="s">
        <v>37</v>
      </c>
      <c r="C237" s="11">
        <v>1809.0</v>
      </c>
      <c r="D237" s="10">
        <v>10.0</v>
      </c>
      <c r="E237" s="10">
        <v>100.0</v>
      </c>
      <c r="F237" s="10">
        <v>2022.0</v>
      </c>
      <c r="G237" s="10"/>
    </row>
    <row r="238">
      <c r="A238" s="7">
        <v>44622.0</v>
      </c>
      <c r="B238" s="8" t="s">
        <v>44</v>
      </c>
      <c r="C238" s="9">
        <v>368.0</v>
      </c>
      <c r="D238" s="10">
        <v>10.0</v>
      </c>
      <c r="E238" s="10">
        <v>100.0</v>
      </c>
      <c r="F238" s="10">
        <v>2022.0</v>
      </c>
      <c r="G238" s="10"/>
    </row>
    <row r="239">
      <c r="A239" s="7">
        <v>44622.0</v>
      </c>
      <c r="B239" s="8" t="s">
        <v>38</v>
      </c>
      <c r="C239" s="9">
        <v>249.0</v>
      </c>
      <c r="D239" s="10">
        <v>10.0</v>
      </c>
      <c r="E239" s="10">
        <v>100.0</v>
      </c>
      <c r="F239" s="10">
        <v>2022.0</v>
      </c>
      <c r="G239" s="10"/>
    </row>
    <row r="240">
      <c r="A240" s="7">
        <v>44622.0</v>
      </c>
      <c r="B240" s="8" t="s">
        <v>42</v>
      </c>
      <c r="C240" s="11">
        <v>1326.0</v>
      </c>
      <c r="D240" s="10">
        <v>10.0</v>
      </c>
      <c r="E240" s="10">
        <v>100.0</v>
      </c>
      <c r="F240" s="10">
        <v>2022.0</v>
      </c>
      <c r="G240" s="10"/>
    </row>
    <row r="241">
      <c r="A241" s="7">
        <v>44622.0</v>
      </c>
      <c r="B241" s="8" t="s">
        <v>39</v>
      </c>
      <c r="C241" s="9">
        <v>391.0</v>
      </c>
      <c r="D241" s="10">
        <v>10.0</v>
      </c>
      <c r="E241" s="10">
        <v>100.0</v>
      </c>
      <c r="F241" s="10">
        <v>2022.0</v>
      </c>
      <c r="G241" s="10"/>
    </row>
    <row r="242">
      <c r="A242" s="7">
        <v>44622.0</v>
      </c>
      <c r="B242" s="8" t="s">
        <v>40</v>
      </c>
      <c r="C242" s="9">
        <v>364.0</v>
      </c>
      <c r="D242" s="10">
        <v>10.0</v>
      </c>
      <c r="E242" s="10">
        <v>100.0</v>
      </c>
      <c r="F242" s="10">
        <v>2022.0</v>
      </c>
      <c r="G242" s="10"/>
    </row>
    <row r="243">
      <c r="A243" s="7">
        <v>44629.0</v>
      </c>
      <c r="B243" s="8" t="s">
        <v>35</v>
      </c>
      <c r="C243" s="11">
        <v>1054.0</v>
      </c>
      <c r="D243" s="10">
        <v>11.0</v>
      </c>
      <c r="E243" s="10">
        <v>101.0</v>
      </c>
      <c r="F243" s="10">
        <v>2022.0</v>
      </c>
      <c r="G243" s="10"/>
    </row>
    <row r="244">
      <c r="A244" s="7">
        <v>44629.0</v>
      </c>
      <c r="B244" s="8" t="s">
        <v>36</v>
      </c>
      <c r="C244" s="11">
        <v>2844.0</v>
      </c>
      <c r="D244" s="10">
        <v>11.0</v>
      </c>
      <c r="E244" s="10">
        <v>101.0</v>
      </c>
      <c r="F244" s="10">
        <v>2022.0</v>
      </c>
      <c r="G244" s="10"/>
    </row>
    <row r="245">
      <c r="A245" s="7">
        <v>44629.0</v>
      </c>
      <c r="B245" s="8" t="s">
        <v>37</v>
      </c>
      <c r="C245" s="11">
        <v>1877.0</v>
      </c>
      <c r="D245" s="10">
        <v>11.0</v>
      </c>
      <c r="E245" s="10">
        <v>101.0</v>
      </c>
      <c r="F245" s="10">
        <v>2022.0</v>
      </c>
      <c r="G245" s="10"/>
    </row>
    <row r="246">
      <c r="A246" s="7">
        <v>44629.0</v>
      </c>
      <c r="B246" s="8" t="s">
        <v>44</v>
      </c>
      <c r="C246" s="9">
        <v>102.0</v>
      </c>
      <c r="D246" s="10">
        <v>11.0</v>
      </c>
      <c r="E246" s="10">
        <v>101.0</v>
      </c>
      <c r="F246" s="10">
        <v>2022.0</v>
      </c>
      <c r="G246" s="10"/>
    </row>
    <row r="247">
      <c r="A247" s="7">
        <v>44629.0</v>
      </c>
      <c r="B247" s="8" t="s">
        <v>38</v>
      </c>
      <c r="C247" s="9">
        <v>773.0</v>
      </c>
      <c r="D247" s="10">
        <v>11.0</v>
      </c>
      <c r="E247" s="10">
        <v>101.0</v>
      </c>
      <c r="F247" s="10">
        <v>2022.0</v>
      </c>
      <c r="G247" s="10"/>
    </row>
    <row r="248">
      <c r="A248" s="7">
        <v>44629.0</v>
      </c>
      <c r="B248" s="8" t="s">
        <v>42</v>
      </c>
      <c r="C248" s="9">
        <v>486.0</v>
      </c>
      <c r="D248" s="10">
        <v>11.0</v>
      </c>
      <c r="E248" s="10">
        <v>101.0</v>
      </c>
      <c r="F248" s="10">
        <v>2022.0</v>
      </c>
      <c r="G248" s="10"/>
    </row>
    <row r="249">
      <c r="A249" s="7">
        <v>44629.0</v>
      </c>
      <c r="B249" s="8" t="s">
        <v>39</v>
      </c>
      <c r="C249" s="9">
        <v>287.0</v>
      </c>
      <c r="D249" s="10">
        <v>11.0</v>
      </c>
      <c r="E249" s="10">
        <v>101.0</v>
      </c>
      <c r="F249" s="10">
        <v>2022.0</v>
      </c>
      <c r="G249" s="10"/>
    </row>
    <row r="250">
      <c r="A250" s="7">
        <v>44629.0</v>
      </c>
      <c r="B250" s="8" t="s">
        <v>40</v>
      </c>
      <c r="C250" s="9">
        <v>443.0</v>
      </c>
      <c r="D250" s="10">
        <v>11.0</v>
      </c>
      <c r="E250" s="10">
        <v>101.0</v>
      </c>
      <c r="F250" s="10">
        <v>2022.0</v>
      </c>
      <c r="G250" s="10"/>
    </row>
    <row r="251">
      <c r="A251" s="7">
        <v>44629.0</v>
      </c>
      <c r="B251" s="8" t="s">
        <v>43</v>
      </c>
      <c r="C251" s="9">
        <v>80.0</v>
      </c>
      <c r="D251" s="10">
        <v>11.0</v>
      </c>
      <c r="E251" s="10">
        <v>101.0</v>
      </c>
      <c r="F251" s="10">
        <v>2022.0</v>
      </c>
      <c r="G251" s="10"/>
    </row>
    <row r="252">
      <c r="A252" s="7">
        <v>44636.0</v>
      </c>
      <c r="B252" s="12" t="s">
        <v>35</v>
      </c>
      <c r="C252" s="11">
        <v>2291.0</v>
      </c>
      <c r="D252" s="10">
        <v>12.0</v>
      </c>
      <c r="E252" s="10">
        <v>102.0</v>
      </c>
      <c r="F252" s="10">
        <v>2022.0</v>
      </c>
      <c r="G252" s="10"/>
    </row>
    <row r="253">
      <c r="A253" s="7">
        <v>44636.0</v>
      </c>
      <c r="B253" s="12" t="s">
        <v>36</v>
      </c>
      <c r="C253" s="11">
        <v>1927.0</v>
      </c>
      <c r="D253" s="10">
        <v>12.0</v>
      </c>
      <c r="E253" s="10">
        <v>102.0</v>
      </c>
      <c r="F253" s="10">
        <v>2022.0</v>
      </c>
      <c r="G253" s="10"/>
    </row>
    <row r="254">
      <c r="A254" s="7">
        <v>44636.0</v>
      </c>
      <c r="B254" s="12" t="s">
        <v>37</v>
      </c>
      <c r="C254" s="11">
        <v>1330.0</v>
      </c>
      <c r="D254" s="10">
        <v>12.0</v>
      </c>
      <c r="E254" s="10">
        <v>102.0</v>
      </c>
      <c r="F254" s="10">
        <v>2022.0</v>
      </c>
      <c r="G254" s="10"/>
    </row>
    <row r="255">
      <c r="A255" s="7">
        <v>44636.0</v>
      </c>
      <c r="B255" s="12" t="s">
        <v>34</v>
      </c>
      <c r="C255" s="9">
        <v>160.0</v>
      </c>
      <c r="D255" s="10">
        <v>12.0</v>
      </c>
      <c r="E255" s="10">
        <v>102.0</v>
      </c>
      <c r="F255" s="10">
        <v>2022.0</v>
      </c>
      <c r="G255" s="10"/>
    </row>
    <row r="256">
      <c r="A256" s="7">
        <v>44636.0</v>
      </c>
      <c r="B256" s="12" t="s">
        <v>44</v>
      </c>
      <c r="C256" s="9">
        <v>235.0</v>
      </c>
      <c r="D256" s="10">
        <v>12.0</v>
      </c>
      <c r="E256" s="10">
        <v>102.0</v>
      </c>
      <c r="F256" s="10">
        <v>2022.0</v>
      </c>
      <c r="G256" s="10"/>
    </row>
    <row r="257">
      <c r="A257" s="7">
        <v>44636.0</v>
      </c>
      <c r="B257" s="12" t="s">
        <v>38</v>
      </c>
      <c r="C257" s="9">
        <v>230.0</v>
      </c>
      <c r="D257" s="10">
        <v>12.0</v>
      </c>
      <c r="E257" s="10">
        <v>102.0</v>
      </c>
      <c r="F257" s="10">
        <v>2022.0</v>
      </c>
      <c r="G257" s="10"/>
    </row>
    <row r="258">
      <c r="A258" s="7">
        <v>44636.0</v>
      </c>
      <c r="B258" s="12" t="s">
        <v>42</v>
      </c>
      <c r="C258" s="9">
        <v>638.0</v>
      </c>
      <c r="D258" s="10">
        <v>12.0</v>
      </c>
      <c r="E258" s="10">
        <v>102.0</v>
      </c>
      <c r="F258" s="10">
        <v>2022.0</v>
      </c>
      <c r="G258" s="10"/>
    </row>
    <row r="259">
      <c r="A259" s="7">
        <v>44636.0</v>
      </c>
      <c r="B259" s="12" t="s">
        <v>39</v>
      </c>
      <c r="C259" s="9">
        <v>110.0</v>
      </c>
      <c r="D259" s="10">
        <v>12.0</v>
      </c>
      <c r="E259" s="10">
        <v>102.0</v>
      </c>
      <c r="F259" s="10">
        <v>2022.0</v>
      </c>
      <c r="G259" s="10"/>
    </row>
    <row r="260">
      <c r="A260" s="7">
        <v>44636.0</v>
      </c>
      <c r="B260" s="12" t="s">
        <v>40</v>
      </c>
      <c r="C260" s="9">
        <v>330.0</v>
      </c>
      <c r="D260" s="10">
        <v>12.0</v>
      </c>
      <c r="E260" s="10">
        <v>102.0</v>
      </c>
      <c r="F260" s="10">
        <v>2022.0</v>
      </c>
      <c r="G260" s="10"/>
    </row>
    <row r="261">
      <c r="A261" s="7">
        <v>44636.0</v>
      </c>
      <c r="B261" s="12" t="s">
        <v>43</v>
      </c>
      <c r="C261" s="9">
        <v>150.0</v>
      </c>
      <c r="D261" s="10">
        <v>12.0</v>
      </c>
      <c r="E261" s="10">
        <v>102.0</v>
      </c>
      <c r="F261" s="10">
        <v>2022.0</v>
      </c>
      <c r="G261" s="10"/>
    </row>
    <row r="262">
      <c r="A262" s="7">
        <v>44643.0</v>
      </c>
      <c r="B262" s="12" t="s">
        <v>35</v>
      </c>
      <c r="C262" s="11">
        <v>2291.0</v>
      </c>
      <c r="D262" s="10">
        <v>13.0</v>
      </c>
      <c r="E262" s="10">
        <v>103.0</v>
      </c>
      <c r="F262" s="10">
        <v>2022.0</v>
      </c>
      <c r="G262" s="10"/>
    </row>
    <row r="263">
      <c r="A263" s="7">
        <v>44643.0</v>
      </c>
      <c r="B263" s="12" t="s">
        <v>36</v>
      </c>
      <c r="C263" s="11">
        <v>3471.0</v>
      </c>
      <c r="D263" s="10">
        <v>13.0</v>
      </c>
      <c r="E263" s="10">
        <v>103.0</v>
      </c>
      <c r="F263" s="10">
        <v>2022.0</v>
      </c>
      <c r="G263" s="10"/>
    </row>
    <row r="264">
      <c r="A264" s="7">
        <v>44643.0</v>
      </c>
      <c r="B264" s="12" t="s">
        <v>37</v>
      </c>
      <c r="C264" s="11">
        <v>1240.0</v>
      </c>
      <c r="D264" s="10">
        <v>13.0</v>
      </c>
      <c r="E264" s="10">
        <v>103.0</v>
      </c>
      <c r="F264" s="10">
        <v>2022.0</v>
      </c>
      <c r="G264" s="10"/>
    </row>
    <row r="265">
      <c r="A265" s="7">
        <v>44643.0</v>
      </c>
      <c r="B265" s="12" t="s">
        <v>34</v>
      </c>
      <c r="C265" s="11">
        <v>1837.0</v>
      </c>
      <c r="D265" s="10">
        <v>13.0</v>
      </c>
      <c r="E265" s="10">
        <v>103.0</v>
      </c>
      <c r="F265" s="10">
        <v>2022.0</v>
      </c>
      <c r="G265" s="10"/>
    </row>
    <row r="266">
      <c r="A266" s="7">
        <v>44643.0</v>
      </c>
      <c r="B266" s="12" t="s">
        <v>44</v>
      </c>
      <c r="C266" s="9">
        <v>90.0</v>
      </c>
      <c r="D266" s="10">
        <v>13.0</v>
      </c>
      <c r="E266" s="10">
        <v>103.0</v>
      </c>
      <c r="F266" s="10">
        <v>2022.0</v>
      </c>
      <c r="G266" s="10"/>
    </row>
    <row r="267">
      <c r="A267" s="7">
        <v>44643.0</v>
      </c>
      <c r="B267" s="12" t="s">
        <v>38</v>
      </c>
      <c r="C267" s="9">
        <v>432.0</v>
      </c>
      <c r="D267" s="10">
        <v>13.0</v>
      </c>
      <c r="E267" s="10">
        <v>103.0</v>
      </c>
      <c r="F267" s="10">
        <v>2022.0</v>
      </c>
      <c r="G267" s="10"/>
    </row>
    <row r="268">
      <c r="A268" s="7">
        <v>44643.0</v>
      </c>
      <c r="B268" s="12" t="s">
        <v>42</v>
      </c>
      <c r="C268" s="9">
        <v>516.0</v>
      </c>
      <c r="D268" s="10">
        <v>13.0</v>
      </c>
      <c r="E268" s="10">
        <v>103.0</v>
      </c>
      <c r="F268" s="10">
        <v>2022.0</v>
      </c>
      <c r="G268" s="10"/>
    </row>
    <row r="269">
      <c r="A269" s="7">
        <v>44643.0</v>
      </c>
      <c r="B269" s="12" t="s">
        <v>39</v>
      </c>
      <c r="C269" s="9">
        <v>61.0</v>
      </c>
      <c r="D269" s="10">
        <v>13.0</v>
      </c>
      <c r="E269" s="10">
        <v>103.0</v>
      </c>
      <c r="F269" s="10">
        <v>2022.0</v>
      </c>
      <c r="G269" s="10"/>
    </row>
    <row r="270">
      <c r="A270" s="7">
        <v>44643.0</v>
      </c>
      <c r="B270" s="12" t="s">
        <v>40</v>
      </c>
      <c r="C270" s="9">
        <v>253.0</v>
      </c>
      <c r="D270" s="10">
        <v>13.0</v>
      </c>
      <c r="E270" s="10">
        <v>103.0</v>
      </c>
      <c r="F270" s="10">
        <v>2022.0</v>
      </c>
      <c r="G270" s="10"/>
    </row>
    <row r="271">
      <c r="A271" s="7">
        <v>44643.0</v>
      </c>
      <c r="B271" s="12" t="s">
        <v>43</v>
      </c>
      <c r="C271" s="9">
        <v>150.0</v>
      </c>
      <c r="D271" s="10">
        <v>13.0</v>
      </c>
      <c r="E271" s="10">
        <v>103.0</v>
      </c>
      <c r="F271" s="10">
        <v>2022.0</v>
      </c>
      <c r="G271" s="10"/>
    </row>
    <row r="272">
      <c r="A272" s="7">
        <v>44650.0</v>
      </c>
      <c r="B272" s="12" t="s">
        <v>35</v>
      </c>
      <c r="C272" s="11">
        <v>1699.0</v>
      </c>
      <c r="D272" s="10">
        <v>14.0</v>
      </c>
      <c r="E272" s="10">
        <v>104.0</v>
      </c>
      <c r="F272" s="10">
        <v>2022.0</v>
      </c>
      <c r="G272" s="10"/>
    </row>
    <row r="273">
      <c r="A273" s="7">
        <v>44650.0</v>
      </c>
      <c r="B273" s="12" t="s">
        <v>41</v>
      </c>
      <c r="C273" s="9">
        <v>107.0</v>
      </c>
      <c r="D273" s="10">
        <v>14.0</v>
      </c>
      <c r="E273" s="10">
        <v>104.0</v>
      </c>
      <c r="F273" s="10">
        <v>2022.0</v>
      </c>
      <c r="G273" s="10"/>
    </row>
    <row r="274">
      <c r="A274" s="7">
        <v>44650.0</v>
      </c>
      <c r="B274" s="12" t="s">
        <v>36</v>
      </c>
      <c r="C274" s="11">
        <v>2068.0</v>
      </c>
      <c r="D274" s="10">
        <v>14.0</v>
      </c>
      <c r="E274" s="10">
        <v>104.0</v>
      </c>
      <c r="F274" s="10">
        <v>2022.0</v>
      </c>
      <c r="G274" s="10"/>
    </row>
    <row r="275">
      <c r="A275" s="7">
        <v>44650.0</v>
      </c>
      <c r="B275" s="12" t="s">
        <v>37</v>
      </c>
      <c r="C275" s="11">
        <v>1911.0</v>
      </c>
      <c r="D275" s="10">
        <v>14.0</v>
      </c>
      <c r="E275" s="10">
        <v>104.0</v>
      </c>
      <c r="F275" s="10">
        <v>2022.0</v>
      </c>
      <c r="G275" s="10"/>
    </row>
    <row r="276">
      <c r="A276" s="7">
        <v>44650.0</v>
      </c>
      <c r="B276" s="12" t="s">
        <v>34</v>
      </c>
      <c r="C276" s="9">
        <v>180.0</v>
      </c>
      <c r="D276" s="10">
        <v>14.0</v>
      </c>
      <c r="E276" s="10">
        <v>104.0</v>
      </c>
      <c r="F276" s="10">
        <v>2022.0</v>
      </c>
      <c r="G276" s="10"/>
    </row>
    <row r="277">
      <c r="A277" s="7">
        <v>44650.0</v>
      </c>
      <c r="B277" s="12" t="s">
        <v>44</v>
      </c>
      <c r="C277" s="9">
        <v>237.0</v>
      </c>
      <c r="D277" s="10">
        <v>14.0</v>
      </c>
      <c r="E277" s="10">
        <v>104.0</v>
      </c>
      <c r="F277" s="10">
        <v>2022.0</v>
      </c>
      <c r="G277" s="10"/>
    </row>
    <row r="278">
      <c r="A278" s="7">
        <v>44650.0</v>
      </c>
      <c r="B278" s="12" t="s">
        <v>38</v>
      </c>
      <c r="C278" s="9">
        <v>432.0</v>
      </c>
      <c r="D278" s="10">
        <v>14.0</v>
      </c>
      <c r="E278" s="10">
        <v>104.0</v>
      </c>
      <c r="F278" s="10">
        <v>2022.0</v>
      </c>
      <c r="G278" s="10"/>
    </row>
    <row r="279">
      <c r="A279" s="7">
        <v>44650.0</v>
      </c>
      <c r="B279" s="12" t="s">
        <v>42</v>
      </c>
      <c r="C279" s="9">
        <v>616.0</v>
      </c>
      <c r="D279" s="10">
        <v>14.0</v>
      </c>
      <c r="E279" s="10">
        <v>104.0</v>
      </c>
      <c r="F279" s="10">
        <v>2022.0</v>
      </c>
      <c r="G279" s="10"/>
    </row>
    <row r="280">
      <c r="A280" s="7">
        <v>44650.0</v>
      </c>
      <c r="B280" s="12" t="s">
        <v>39</v>
      </c>
      <c r="C280" s="9">
        <v>145.0</v>
      </c>
      <c r="D280" s="10">
        <v>14.0</v>
      </c>
      <c r="E280" s="10">
        <v>104.0</v>
      </c>
      <c r="F280" s="10">
        <v>2022.0</v>
      </c>
      <c r="G280" s="10"/>
    </row>
    <row r="281">
      <c r="A281" s="7">
        <v>44650.0</v>
      </c>
      <c r="B281" s="12" t="s">
        <v>45</v>
      </c>
      <c r="C281" s="9">
        <v>131.0</v>
      </c>
      <c r="D281" s="10">
        <v>14.0</v>
      </c>
      <c r="E281" s="10">
        <v>104.0</v>
      </c>
      <c r="F281" s="10">
        <v>2022.0</v>
      </c>
      <c r="G281" s="10"/>
    </row>
    <row r="282">
      <c r="A282" s="7">
        <v>44650.0</v>
      </c>
      <c r="B282" s="12" t="s">
        <v>40</v>
      </c>
      <c r="C282" s="9">
        <v>529.0</v>
      </c>
      <c r="D282" s="10">
        <v>14.0</v>
      </c>
      <c r="E282" s="10">
        <v>104.0</v>
      </c>
      <c r="F282" s="10">
        <v>2022.0</v>
      </c>
      <c r="G282" s="10"/>
    </row>
    <row r="283">
      <c r="A283" s="7">
        <v>44650.0</v>
      </c>
      <c r="B283" s="12" t="s">
        <v>43</v>
      </c>
      <c r="C283" s="9">
        <v>125.0</v>
      </c>
      <c r="D283" s="10">
        <v>14.0</v>
      </c>
      <c r="E283" s="10">
        <v>104.0</v>
      </c>
      <c r="F283" s="10">
        <v>2022.0</v>
      </c>
      <c r="G283" s="10"/>
    </row>
    <row r="284">
      <c r="A284" s="7">
        <v>44657.0</v>
      </c>
      <c r="B284" s="12" t="s">
        <v>35</v>
      </c>
      <c r="C284" s="9">
        <v>867.0</v>
      </c>
      <c r="D284" s="10">
        <v>15.0</v>
      </c>
      <c r="E284" s="10">
        <v>105.0</v>
      </c>
      <c r="F284" s="10">
        <v>2022.0</v>
      </c>
      <c r="G284" s="10"/>
    </row>
    <row r="285">
      <c r="A285" s="7">
        <v>44657.0</v>
      </c>
      <c r="B285" s="12" t="s">
        <v>36</v>
      </c>
      <c r="C285" s="11">
        <v>2267.0</v>
      </c>
      <c r="D285" s="10">
        <v>15.0</v>
      </c>
      <c r="E285" s="10">
        <v>105.0</v>
      </c>
      <c r="F285" s="10">
        <v>2022.0</v>
      </c>
      <c r="G285" s="10"/>
    </row>
    <row r="286">
      <c r="A286" s="7">
        <v>44657.0</v>
      </c>
      <c r="B286" s="12" t="s">
        <v>37</v>
      </c>
      <c r="C286" s="11">
        <v>2156.0</v>
      </c>
      <c r="D286" s="10">
        <v>15.0</v>
      </c>
      <c r="E286" s="10">
        <v>105.0</v>
      </c>
      <c r="F286" s="10">
        <v>2022.0</v>
      </c>
      <c r="G286" s="10"/>
    </row>
    <row r="287">
      <c r="A287" s="7">
        <v>44657.0</v>
      </c>
      <c r="B287" s="12" t="s">
        <v>44</v>
      </c>
      <c r="C287" s="9">
        <v>275.0</v>
      </c>
      <c r="D287" s="10">
        <v>15.0</v>
      </c>
      <c r="E287" s="10">
        <v>105.0</v>
      </c>
      <c r="F287" s="10">
        <v>2022.0</v>
      </c>
      <c r="G287" s="10"/>
    </row>
    <row r="288">
      <c r="A288" s="7">
        <v>44657.0</v>
      </c>
      <c r="B288" s="12" t="s">
        <v>38</v>
      </c>
      <c r="C288" s="9">
        <v>496.0</v>
      </c>
      <c r="D288" s="10">
        <v>15.0</v>
      </c>
      <c r="E288" s="10">
        <v>105.0</v>
      </c>
      <c r="F288" s="10">
        <v>2022.0</v>
      </c>
      <c r="G288" s="10"/>
    </row>
    <row r="289">
      <c r="A289" s="7">
        <v>44657.0</v>
      </c>
      <c r="B289" s="12" t="s">
        <v>42</v>
      </c>
      <c r="C289" s="9">
        <v>125.0</v>
      </c>
      <c r="D289" s="10">
        <v>15.0</v>
      </c>
      <c r="E289" s="10">
        <v>105.0</v>
      </c>
      <c r="F289" s="10">
        <v>2022.0</v>
      </c>
      <c r="G289" s="10"/>
    </row>
    <row r="290">
      <c r="A290" s="7">
        <v>44657.0</v>
      </c>
      <c r="B290" s="12" t="s">
        <v>45</v>
      </c>
      <c r="C290" s="9">
        <v>39.0</v>
      </c>
      <c r="D290" s="10">
        <v>15.0</v>
      </c>
      <c r="E290" s="10">
        <v>105.0</v>
      </c>
      <c r="F290" s="10">
        <v>2022.0</v>
      </c>
      <c r="G290" s="10"/>
    </row>
    <row r="291">
      <c r="A291" s="7">
        <v>44657.0</v>
      </c>
      <c r="B291" s="12" t="s">
        <v>40</v>
      </c>
      <c r="C291" s="9">
        <v>259.0</v>
      </c>
      <c r="D291" s="10">
        <v>15.0</v>
      </c>
      <c r="E291" s="10">
        <v>105.0</v>
      </c>
      <c r="F291" s="10">
        <v>2022.0</v>
      </c>
      <c r="G291" s="10"/>
    </row>
    <row r="292">
      <c r="A292" s="7">
        <v>44657.0</v>
      </c>
      <c r="B292" s="12" t="s">
        <v>43</v>
      </c>
      <c r="C292" s="9">
        <v>125.0</v>
      </c>
      <c r="D292" s="10">
        <v>15.0</v>
      </c>
      <c r="E292" s="10">
        <v>105.0</v>
      </c>
      <c r="F292" s="10">
        <v>2022.0</v>
      </c>
      <c r="G292" s="10"/>
    </row>
    <row r="293">
      <c r="A293" s="7">
        <v>44664.0</v>
      </c>
      <c r="B293" s="12" t="s">
        <v>35</v>
      </c>
      <c r="C293" s="11">
        <v>1134.0</v>
      </c>
      <c r="D293" s="10">
        <v>16.0</v>
      </c>
      <c r="E293" s="10">
        <v>106.0</v>
      </c>
      <c r="F293" s="10">
        <v>2022.0</v>
      </c>
      <c r="G293" s="10"/>
    </row>
    <row r="294">
      <c r="A294" s="7">
        <v>44664.0</v>
      </c>
      <c r="B294" s="12" t="s">
        <v>41</v>
      </c>
      <c r="C294" s="9">
        <v>21.0</v>
      </c>
      <c r="D294" s="10">
        <v>16.0</v>
      </c>
      <c r="E294" s="10">
        <v>106.0</v>
      </c>
      <c r="F294" s="10">
        <v>2022.0</v>
      </c>
      <c r="G294" s="10"/>
    </row>
    <row r="295">
      <c r="A295" s="7">
        <v>44664.0</v>
      </c>
      <c r="B295" s="12" t="s">
        <v>36</v>
      </c>
      <c r="C295" s="11">
        <v>2774.0</v>
      </c>
      <c r="D295" s="10">
        <v>16.0</v>
      </c>
      <c r="E295" s="10">
        <v>106.0</v>
      </c>
      <c r="F295" s="10">
        <v>2022.0</v>
      </c>
      <c r="G295" s="10"/>
    </row>
    <row r="296">
      <c r="A296" s="7">
        <v>44664.0</v>
      </c>
      <c r="B296" s="12" t="s">
        <v>37</v>
      </c>
      <c r="C296" s="11">
        <v>1892.0</v>
      </c>
      <c r="D296" s="10">
        <v>16.0</v>
      </c>
      <c r="E296" s="10">
        <v>106.0</v>
      </c>
      <c r="F296" s="10">
        <v>2022.0</v>
      </c>
      <c r="G296" s="10"/>
    </row>
    <row r="297">
      <c r="A297" s="7">
        <v>44664.0</v>
      </c>
      <c r="B297" s="12" t="s">
        <v>34</v>
      </c>
      <c r="C297" s="11">
        <v>1580.0</v>
      </c>
      <c r="D297" s="10">
        <v>16.0</v>
      </c>
      <c r="E297" s="10">
        <v>106.0</v>
      </c>
      <c r="F297" s="10">
        <v>2022.0</v>
      </c>
      <c r="G297" s="10"/>
    </row>
    <row r="298">
      <c r="A298" s="7">
        <v>44664.0</v>
      </c>
      <c r="B298" s="12" t="s">
        <v>44</v>
      </c>
      <c r="C298" s="9">
        <v>112.0</v>
      </c>
      <c r="D298" s="10">
        <v>16.0</v>
      </c>
      <c r="E298" s="10">
        <v>106.0</v>
      </c>
      <c r="F298" s="10">
        <v>2022.0</v>
      </c>
      <c r="G298" s="10"/>
    </row>
    <row r="299">
      <c r="A299" s="7">
        <v>44664.0</v>
      </c>
      <c r="B299" s="12" t="s">
        <v>38</v>
      </c>
      <c r="C299" s="9">
        <v>211.0</v>
      </c>
      <c r="D299" s="10">
        <v>16.0</v>
      </c>
      <c r="E299" s="10">
        <v>106.0</v>
      </c>
      <c r="F299" s="10">
        <v>2022.0</v>
      </c>
      <c r="G299" s="10"/>
    </row>
    <row r="300">
      <c r="A300" s="7">
        <v>44664.0</v>
      </c>
      <c r="B300" s="12" t="s">
        <v>42</v>
      </c>
      <c r="C300" s="9">
        <v>282.0</v>
      </c>
      <c r="D300" s="10">
        <v>16.0</v>
      </c>
      <c r="E300" s="10">
        <v>106.0</v>
      </c>
      <c r="F300" s="10">
        <v>2022.0</v>
      </c>
      <c r="G300" s="10"/>
    </row>
    <row r="301">
      <c r="A301" s="7">
        <v>44664.0</v>
      </c>
      <c r="B301" s="12" t="s">
        <v>45</v>
      </c>
      <c r="C301" s="9">
        <v>50.0</v>
      </c>
      <c r="D301" s="10">
        <v>16.0</v>
      </c>
      <c r="E301" s="10">
        <v>106.0</v>
      </c>
      <c r="F301" s="10">
        <v>2022.0</v>
      </c>
      <c r="G301" s="10"/>
    </row>
    <row r="302">
      <c r="A302" s="7">
        <v>44664.0</v>
      </c>
      <c r="B302" s="12" t="s">
        <v>40</v>
      </c>
      <c r="C302" s="9">
        <v>325.0</v>
      </c>
      <c r="D302" s="10">
        <v>16.0</v>
      </c>
      <c r="E302" s="10">
        <v>106.0</v>
      </c>
      <c r="F302" s="10">
        <v>2022.0</v>
      </c>
      <c r="G302" s="10"/>
    </row>
    <row r="303">
      <c r="A303" s="7">
        <v>44664.0</v>
      </c>
      <c r="B303" s="12" t="s">
        <v>43</v>
      </c>
      <c r="C303" s="9">
        <v>105.0</v>
      </c>
      <c r="D303" s="10">
        <v>16.0</v>
      </c>
      <c r="E303" s="10">
        <v>106.0</v>
      </c>
      <c r="F303" s="10">
        <v>2022.0</v>
      </c>
      <c r="G303" s="10"/>
    </row>
    <row r="304">
      <c r="A304" s="7">
        <v>44671.0</v>
      </c>
      <c r="B304" s="12" t="s">
        <v>35</v>
      </c>
      <c r="C304" s="11">
        <v>2165.0</v>
      </c>
      <c r="D304" s="10">
        <v>17.0</v>
      </c>
      <c r="E304" s="10">
        <v>107.0</v>
      </c>
      <c r="F304" s="10">
        <v>2022.0</v>
      </c>
      <c r="G304" s="10"/>
    </row>
    <row r="305">
      <c r="A305" s="7">
        <v>44671.0</v>
      </c>
      <c r="B305" s="12" t="s">
        <v>36</v>
      </c>
      <c r="C305" s="11">
        <v>3490.0</v>
      </c>
      <c r="D305" s="10">
        <v>17.0</v>
      </c>
      <c r="E305" s="10">
        <v>107.0</v>
      </c>
      <c r="F305" s="10">
        <v>2022.0</v>
      </c>
      <c r="G305" s="10"/>
    </row>
    <row r="306">
      <c r="A306" s="7">
        <v>44671.0</v>
      </c>
      <c r="B306" s="12" t="s">
        <v>37</v>
      </c>
      <c r="C306" s="11">
        <v>2760.0</v>
      </c>
      <c r="D306" s="10">
        <v>17.0</v>
      </c>
      <c r="E306" s="10">
        <v>107.0</v>
      </c>
      <c r="F306" s="10">
        <v>2022.0</v>
      </c>
      <c r="G306" s="10"/>
    </row>
    <row r="307">
      <c r="A307" s="7">
        <v>44671.0</v>
      </c>
      <c r="B307" s="12" t="s">
        <v>34</v>
      </c>
      <c r="C307" s="11">
        <v>1005.0</v>
      </c>
      <c r="D307" s="10">
        <v>17.0</v>
      </c>
      <c r="E307" s="10">
        <v>107.0</v>
      </c>
      <c r="F307" s="10">
        <v>2022.0</v>
      </c>
      <c r="G307" s="10"/>
    </row>
    <row r="308">
      <c r="A308" s="7">
        <v>44671.0</v>
      </c>
      <c r="B308" s="12" t="s">
        <v>44</v>
      </c>
      <c r="C308" s="9">
        <v>247.0</v>
      </c>
      <c r="D308" s="10">
        <v>17.0</v>
      </c>
      <c r="E308" s="10">
        <v>107.0</v>
      </c>
      <c r="F308" s="10">
        <v>2022.0</v>
      </c>
      <c r="G308" s="10"/>
    </row>
    <row r="309">
      <c r="A309" s="7">
        <v>44671.0</v>
      </c>
      <c r="B309" s="12" t="s">
        <v>38</v>
      </c>
      <c r="C309" s="9">
        <v>829.0</v>
      </c>
      <c r="D309" s="10">
        <v>17.0</v>
      </c>
      <c r="E309" s="10">
        <v>107.0</v>
      </c>
      <c r="F309" s="10">
        <v>2022.0</v>
      </c>
      <c r="G309" s="10"/>
    </row>
    <row r="310">
      <c r="A310" s="7">
        <v>44671.0</v>
      </c>
      <c r="B310" s="12" t="s">
        <v>42</v>
      </c>
      <c r="C310" s="9">
        <v>817.0</v>
      </c>
      <c r="D310" s="10">
        <v>17.0</v>
      </c>
      <c r="E310" s="10">
        <v>107.0</v>
      </c>
      <c r="F310" s="10">
        <v>2022.0</v>
      </c>
      <c r="G310" s="10"/>
    </row>
    <row r="311">
      <c r="A311" s="7">
        <v>44671.0</v>
      </c>
      <c r="B311" s="12" t="s">
        <v>40</v>
      </c>
      <c r="C311" s="9">
        <v>352.0</v>
      </c>
      <c r="D311" s="10">
        <v>17.0</v>
      </c>
      <c r="E311" s="10">
        <v>107.0</v>
      </c>
      <c r="F311" s="10">
        <v>2022.0</v>
      </c>
      <c r="G311" s="10"/>
    </row>
    <row r="312">
      <c r="A312" s="7">
        <v>44671.0</v>
      </c>
      <c r="B312" s="12" t="s">
        <v>43</v>
      </c>
      <c r="C312" s="9">
        <v>128.0</v>
      </c>
      <c r="D312" s="10">
        <v>17.0</v>
      </c>
      <c r="E312" s="10">
        <v>107.0</v>
      </c>
      <c r="F312" s="10">
        <v>2022.0</v>
      </c>
      <c r="G312" s="10"/>
    </row>
    <row r="313">
      <c r="A313" s="7">
        <v>44678.0</v>
      </c>
      <c r="B313" s="12" t="s">
        <v>35</v>
      </c>
      <c r="C313" s="11">
        <v>1379.0</v>
      </c>
      <c r="D313" s="10">
        <v>18.0</v>
      </c>
      <c r="E313" s="10">
        <v>108.0</v>
      </c>
      <c r="F313" s="10">
        <v>2022.0</v>
      </c>
      <c r="G313" s="10"/>
    </row>
    <row r="314">
      <c r="A314" s="7">
        <v>44678.0</v>
      </c>
      <c r="B314" s="12" t="s">
        <v>41</v>
      </c>
      <c r="C314" s="9">
        <v>85.0</v>
      </c>
      <c r="D314" s="10">
        <v>18.0</v>
      </c>
      <c r="E314" s="10">
        <v>108.0</v>
      </c>
      <c r="F314" s="10">
        <v>2022.0</v>
      </c>
      <c r="G314" s="10"/>
    </row>
    <row r="315">
      <c r="A315" s="7">
        <v>44678.0</v>
      </c>
      <c r="B315" s="12" t="s">
        <v>36</v>
      </c>
      <c r="C315" s="11">
        <v>3034.0</v>
      </c>
      <c r="D315" s="10">
        <v>18.0</v>
      </c>
      <c r="E315" s="10">
        <v>108.0</v>
      </c>
      <c r="F315" s="10">
        <v>2022.0</v>
      </c>
      <c r="G315" s="10"/>
    </row>
    <row r="316">
      <c r="A316" s="7">
        <v>44678.0</v>
      </c>
      <c r="B316" s="12" t="s">
        <v>37</v>
      </c>
      <c r="C316" s="11">
        <v>2817.0</v>
      </c>
      <c r="D316" s="10">
        <v>18.0</v>
      </c>
      <c r="E316" s="10">
        <v>108.0</v>
      </c>
      <c r="F316" s="10">
        <v>2022.0</v>
      </c>
      <c r="G316" s="10"/>
    </row>
    <row r="317">
      <c r="A317" s="7">
        <v>44678.0</v>
      </c>
      <c r="B317" s="12" t="s">
        <v>34</v>
      </c>
      <c r="C317" s="9">
        <v>575.0</v>
      </c>
      <c r="D317" s="10">
        <v>18.0</v>
      </c>
      <c r="E317" s="10">
        <v>108.0</v>
      </c>
      <c r="F317" s="10">
        <v>2022.0</v>
      </c>
      <c r="G317" s="10"/>
    </row>
    <row r="318">
      <c r="A318" s="7">
        <v>44678.0</v>
      </c>
      <c r="B318" s="12" t="s">
        <v>44</v>
      </c>
      <c r="C318" s="9">
        <v>380.0</v>
      </c>
      <c r="D318" s="10">
        <v>18.0</v>
      </c>
      <c r="E318" s="10">
        <v>108.0</v>
      </c>
      <c r="F318" s="10">
        <v>2022.0</v>
      </c>
      <c r="G318" s="10"/>
    </row>
    <row r="319">
      <c r="A319" s="7">
        <v>44678.0</v>
      </c>
      <c r="B319" s="12" t="s">
        <v>38</v>
      </c>
      <c r="C319" s="9">
        <v>503.0</v>
      </c>
      <c r="D319" s="10">
        <v>18.0</v>
      </c>
      <c r="E319" s="10">
        <v>108.0</v>
      </c>
      <c r="F319" s="10">
        <v>2022.0</v>
      </c>
      <c r="G319" s="10"/>
    </row>
    <row r="320">
      <c r="A320" s="7">
        <v>44678.0</v>
      </c>
      <c r="B320" s="12" t="s">
        <v>42</v>
      </c>
      <c r="C320" s="9">
        <v>243.0</v>
      </c>
      <c r="D320" s="10">
        <v>18.0</v>
      </c>
      <c r="E320" s="10">
        <v>108.0</v>
      </c>
      <c r="F320" s="10">
        <v>2022.0</v>
      </c>
      <c r="G320" s="10"/>
    </row>
    <row r="321">
      <c r="A321" s="7">
        <v>44678.0</v>
      </c>
      <c r="B321" s="12" t="s">
        <v>40</v>
      </c>
      <c r="C321" s="9">
        <v>503.0</v>
      </c>
      <c r="D321" s="10">
        <v>18.0</v>
      </c>
      <c r="E321" s="10">
        <v>108.0</v>
      </c>
      <c r="F321" s="10">
        <v>2022.0</v>
      </c>
      <c r="G321" s="10"/>
    </row>
    <row r="322">
      <c r="A322" s="7">
        <v>44678.0</v>
      </c>
      <c r="B322" s="12" t="s">
        <v>43</v>
      </c>
      <c r="C322" s="9">
        <v>116.0</v>
      </c>
      <c r="D322" s="10">
        <v>18.0</v>
      </c>
      <c r="E322" s="10">
        <v>108.0</v>
      </c>
      <c r="F322" s="10">
        <v>2022.0</v>
      </c>
      <c r="G322" s="10"/>
    </row>
    <row r="323">
      <c r="A323" s="7">
        <v>44685.0</v>
      </c>
      <c r="B323" s="12" t="s">
        <v>35</v>
      </c>
      <c r="C323" s="11">
        <v>1030.0</v>
      </c>
      <c r="D323" s="10">
        <v>19.0</v>
      </c>
      <c r="E323" s="10">
        <v>109.0</v>
      </c>
      <c r="F323" s="10">
        <v>2022.0</v>
      </c>
      <c r="G323" s="10"/>
    </row>
    <row r="324">
      <c r="A324" s="7">
        <v>44685.0</v>
      </c>
      <c r="B324" s="12" t="s">
        <v>41</v>
      </c>
      <c r="C324" s="9">
        <v>195.0</v>
      </c>
      <c r="D324" s="10">
        <v>19.0</v>
      </c>
      <c r="E324" s="10">
        <v>109.0</v>
      </c>
      <c r="F324" s="10">
        <v>2022.0</v>
      </c>
      <c r="G324" s="10"/>
    </row>
    <row r="325">
      <c r="A325" s="7">
        <v>44685.0</v>
      </c>
      <c r="B325" s="12" t="s">
        <v>36</v>
      </c>
      <c r="C325" s="11">
        <v>2707.0</v>
      </c>
      <c r="D325" s="10">
        <v>19.0</v>
      </c>
      <c r="E325" s="10">
        <v>109.0</v>
      </c>
      <c r="F325" s="10">
        <v>2022.0</v>
      </c>
      <c r="G325" s="10"/>
    </row>
    <row r="326">
      <c r="A326" s="7">
        <v>44685.0</v>
      </c>
      <c r="B326" s="12" t="s">
        <v>37</v>
      </c>
      <c r="C326" s="11">
        <v>1570.0</v>
      </c>
      <c r="D326" s="10">
        <v>19.0</v>
      </c>
      <c r="E326" s="10">
        <v>109.0</v>
      </c>
      <c r="F326" s="10">
        <v>2022.0</v>
      </c>
      <c r="G326" s="10"/>
    </row>
    <row r="327">
      <c r="A327" s="7">
        <v>44685.0</v>
      </c>
      <c r="B327" s="12" t="s">
        <v>34</v>
      </c>
      <c r="C327" s="9">
        <v>190.0</v>
      </c>
      <c r="D327" s="10">
        <v>19.0</v>
      </c>
      <c r="E327" s="10">
        <v>109.0</v>
      </c>
      <c r="F327" s="10">
        <v>2022.0</v>
      </c>
      <c r="G327" s="10"/>
    </row>
    <row r="328">
      <c r="A328" s="7">
        <v>44685.0</v>
      </c>
      <c r="B328" s="12" t="s">
        <v>44</v>
      </c>
      <c r="C328" s="9">
        <v>62.0</v>
      </c>
      <c r="D328" s="10">
        <v>19.0</v>
      </c>
      <c r="E328" s="10">
        <v>109.0</v>
      </c>
      <c r="F328" s="10">
        <v>2022.0</v>
      </c>
      <c r="G328" s="10"/>
    </row>
    <row r="329">
      <c r="A329" s="7">
        <v>44685.0</v>
      </c>
      <c r="B329" s="12" t="s">
        <v>38</v>
      </c>
      <c r="C329" s="9">
        <v>388.0</v>
      </c>
      <c r="D329" s="10">
        <v>19.0</v>
      </c>
      <c r="E329" s="10">
        <v>109.0</v>
      </c>
      <c r="F329" s="10">
        <v>2022.0</v>
      </c>
      <c r="G329" s="10"/>
    </row>
    <row r="330">
      <c r="A330" s="7">
        <v>44685.0</v>
      </c>
      <c r="B330" s="12" t="s">
        <v>42</v>
      </c>
      <c r="C330" s="9">
        <v>515.0</v>
      </c>
      <c r="D330" s="10">
        <v>19.0</v>
      </c>
      <c r="E330" s="10">
        <v>109.0</v>
      </c>
      <c r="F330" s="10">
        <v>2022.0</v>
      </c>
      <c r="G330" s="10"/>
    </row>
    <row r="331">
      <c r="A331" s="7">
        <v>44685.0</v>
      </c>
      <c r="B331" s="12" t="s">
        <v>40</v>
      </c>
      <c r="C331" s="9">
        <v>480.0</v>
      </c>
      <c r="D331" s="10">
        <v>19.0</v>
      </c>
      <c r="E331" s="10">
        <v>109.0</v>
      </c>
      <c r="F331" s="10">
        <v>2022.0</v>
      </c>
      <c r="G331" s="10"/>
    </row>
    <row r="332">
      <c r="A332" s="7">
        <v>44685.0</v>
      </c>
      <c r="B332" s="12" t="s">
        <v>43</v>
      </c>
      <c r="C332" s="9">
        <v>140.0</v>
      </c>
      <c r="D332" s="10">
        <v>19.0</v>
      </c>
      <c r="E332" s="10">
        <v>109.0</v>
      </c>
      <c r="F332" s="10">
        <v>2022.0</v>
      </c>
      <c r="G332" s="10"/>
    </row>
    <row r="333">
      <c r="A333" s="7">
        <v>44692.0</v>
      </c>
      <c r="B333" s="12" t="s">
        <v>35</v>
      </c>
      <c r="C333" s="11">
        <v>1574.0</v>
      </c>
      <c r="D333" s="10">
        <v>20.0</v>
      </c>
      <c r="E333" s="10">
        <v>110.0</v>
      </c>
      <c r="F333" s="10">
        <v>2022.0</v>
      </c>
      <c r="G333" s="10"/>
    </row>
    <row r="334">
      <c r="A334" s="7">
        <v>44692.0</v>
      </c>
      <c r="B334" s="12" t="s">
        <v>41</v>
      </c>
      <c r="C334" s="9">
        <v>154.0</v>
      </c>
      <c r="D334" s="10">
        <v>20.0</v>
      </c>
      <c r="E334" s="10">
        <v>110.0</v>
      </c>
      <c r="F334" s="10">
        <v>2022.0</v>
      </c>
      <c r="G334" s="10"/>
    </row>
    <row r="335">
      <c r="A335" s="7">
        <v>44692.0</v>
      </c>
      <c r="B335" s="12" t="s">
        <v>36</v>
      </c>
      <c r="C335" s="11">
        <v>3729.0</v>
      </c>
      <c r="D335" s="10">
        <v>20.0</v>
      </c>
      <c r="E335" s="10">
        <v>110.0</v>
      </c>
      <c r="F335" s="10">
        <v>2022.0</v>
      </c>
      <c r="G335" s="10"/>
    </row>
    <row r="336">
      <c r="A336" s="7">
        <v>44692.0</v>
      </c>
      <c r="B336" s="12" t="s">
        <v>37</v>
      </c>
      <c r="C336" s="11">
        <v>1999.0</v>
      </c>
      <c r="D336" s="10">
        <v>20.0</v>
      </c>
      <c r="E336" s="10">
        <v>110.0</v>
      </c>
      <c r="F336" s="10">
        <v>2022.0</v>
      </c>
      <c r="G336" s="10"/>
    </row>
    <row r="337">
      <c r="A337" s="7">
        <v>44692.0</v>
      </c>
      <c r="B337" s="12" t="s">
        <v>44</v>
      </c>
      <c r="C337" s="9">
        <v>86.0</v>
      </c>
      <c r="D337" s="10">
        <v>20.0</v>
      </c>
      <c r="E337" s="10">
        <v>110.0</v>
      </c>
      <c r="F337" s="10">
        <v>2022.0</v>
      </c>
      <c r="G337" s="10"/>
    </row>
    <row r="338">
      <c r="A338" s="7">
        <v>44692.0</v>
      </c>
      <c r="B338" s="12" t="s">
        <v>38</v>
      </c>
      <c r="C338" s="9">
        <v>699.0</v>
      </c>
      <c r="D338" s="10">
        <v>20.0</v>
      </c>
      <c r="E338" s="10">
        <v>110.0</v>
      </c>
      <c r="F338" s="10">
        <v>2022.0</v>
      </c>
      <c r="G338" s="10"/>
    </row>
    <row r="339">
      <c r="A339" s="7">
        <v>44692.0</v>
      </c>
      <c r="B339" s="12" t="s">
        <v>42</v>
      </c>
      <c r="C339" s="9">
        <v>541.0</v>
      </c>
      <c r="D339" s="10">
        <v>20.0</v>
      </c>
      <c r="E339" s="10">
        <v>110.0</v>
      </c>
      <c r="F339" s="10">
        <v>2022.0</v>
      </c>
      <c r="G339" s="10"/>
    </row>
    <row r="340">
      <c r="A340" s="7">
        <v>44692.0</v>
      </c>
      <c r="B340" s="12" t="s">
        <v>40</v>
      </c>
      <c r="C340" s="9">
        <v>569.0</v>
      </c>
      <c r="D340" s="10">
        <v>20.0</v>
      </c>
      <c r="E340" s="10">
        <v>110.0</v>
      </c>
      <c r="F340" s="10">
        <v>2022.0</v>
      </c>
      <c r="G340" s="10"/>
    </row>
    <row r="341">
      <c r="A341" s="7">
        <v>44692.0</v>
      </c>
      <c r="B341" s="12" t="s">
        <v>43</v>
      </c>
      <c r="C341" s="9">
        <v>115.0</v>
      </c>
      <c r="D341" s="10">
        <v>20.0</v>
      </c>
      <c r="E341" s="10">
        <v>110.0</v>
      </c>
      <c r="F341" s="10">
        <v>2022.0</v>
      </c>
      <c r="G341" s="10"/>
    </row>
    <row r="342">
      <c r="A342" s="7">
        <v>44696.0</v>
      </c>
      <c r="B342" s="12" t="s">
        <v>35</v>
      </c>
      <c r="C342" s="11">
        <v>1457.0</v>
      </c>
      <c r="D342" s="10">
        <v>21.0</v>
      </c>
      <c r="E342" s="10">
        <v>111.0</v>
      </c>
      <c r="F342" s="10">
        <v>2022.0</v>
      </c>
      <c r="G342" s="10"/>
    </row>
    <row r="343">
      <c r="A343" s="7">
        <v>44696.0</v>
      </c>
      <c r="B343" s="12" t="s">
        <v>41</v>
      </c>
      <c r="C343" s="9">
        <v>112.0</v>
      </c>
      <c r="D343" s="10">
        <v>21.0</v>
      </c>
      <c r="E343" s="10">
        <v>111.0</v>
      </c>
      <c r="F343" s="10">
        <v>2022.0</v>
      </c>
      <c r="G343" s="10"/>
    </row>
    <row r="344">
      <c r="A344" s="7">
        <v>44696.0</v>
      </c>
      <c r="B344" s="12" t="s">
        <v>36</v>
      </c>
      <c r="C344" s="11">
        <v>2415.0</v>
      </c>
      <c r="D344" s="10">
        <v>21.0</v>
      </c>
      <c r="E344" s="10">
        <v>111.0</v>
      </c>
      <c r="F344" s="10">
        <v>2022.0</v>
      </c>
      <c r="G344" s="10"/>
    </row>
    <row r="345">
      <c r="A345" s="7">
        <v>44696.0</v>
      </c>
      <c r="B345" s="12" t="s">
        <v>37</v>
      </c>
      <c r="C345" s="11">
        <v>1747.0</v>
      </c>
      <c r="D345" s="10">
        <v>21.0</v>
      </c>
      <c r="E345" s="10">
        <v>111.0</v>
      </c>
      <c r="F345" s="10">
        <v>2022.0</v>
      </c>
      <c r="G345" s="10"/>
    </row>
    <row r="346">
      <c r="A346" s="7">
        <v>44696.0</v>
      </c>
      <c r="B346" s="12" t="s">
        <v>34</v>
      </c>
      <c r="C346" s="9">
        <v>800.0</v>
      </c>
      <c r="D346" s="10">
        <v>21.0</v>
      </c>
      <c r="E346" s="10">
        <v>111.0</v>
      </c>
      <c r="F346" s="10">
        <v>2022.0</v>
      </c>
      <c r="G346" s="10"/>
    </row>
    <row r="347">
      <c r="A347" s="7">
        <v>44696.0</v>
      </c>
      <c r="B347" s="12" t="s">
        <v>44</v>
      </c>
      <c r="C347" s="9">
        <v>86.0</v>
      </c>
      <c r="D347" s="10">
        <v>21.0</v>
      </c>
      <c r="E347" s="10">
        <v>111.0</v>
      </c>
      <c r="F347" s="10">
        <v>2022.0</v>
      </c>
      <c r="G347" s="10"/>
    </row>
    <row r="348">
      <c r="A348" s="7">
        <v>44696.0</v>
      </c>
      <c r="B348" s="12" t="s">
        <v>38</v>
      </c>
      <c r="C348" s="9">
        <v>187.0</v>
      </c>
      <c r="D348" s="10">
        <v>21.0</v>
      </c>
      <c r="E348" s="10">
        <v>111.0</v>
      </c>
      <c r="F348" s="10">
        <v>2022.0</v>
      </c>
      <c r="G348" s="10"/>
    </row>
    <row r="349">
      <c r="A349" s="7">
        <v>44696.0</v>
      </c>
      <c r="B349" s="12" t="s">
        <v>42</v>
      </c>
      <c r="C349" s="9">
        <v>403.0</v>
      </c>
      <c r="D349" s="10">
        <v>21.0</v>
      </c>
      <c r="E349" s="10">
        <v>111.0</v>
      </c>
      <c r="F349" s="10">
        <v>2022.0</v>
      </c>
      <c r="G349" s="10"/>
    </row>
    <row r="350">
      <c r="A350" s="7">
        <v>44696.0</v>
      </c>
      <c r="B350" s="12" t="s">
        <v>46</v>
      </c>
      <c r="C350" s="9">
        <v>155.0</v>
      </c>
      <c r="D350" s="10">
        <v>21.0</v>
      </c>
      <c r="E350" s="10">
        <v>111.0</v>
      </c>
      <c r="F350" s="10">
        <v>2022.0</v>
      </c>
      <c r="G350" s="10"/>
    </row>
    <row r="351">
      <c r="A351" s="7">
        <v>44696.0</v>
      </c>
      <c r="B351" s="12" t="s">
        <v>40</v>
      </c>
      <c r="C351" s="9">
        <v>136.0</v>
      </c>
      <c r="D351" s="10">
        <v>21.0</v>
      </c>
      <c r="E351" s="10">
        <v>111.0</v>
      </c>
      <c r="F351" s="10">
        <v>2022.0</v>
      </c>
      <c r="G351" s="10"/>
    </row>
    <row r="352">
      <c r="A352" s="7">
        <v>44696.0</v>
      </c>
      <c r="B352" s="12" t="s">
        <v>43</v>
      </c>
      <c r="C352" s="9">
        <v>110.0</v>
      </c>
      <c r="D352" s="10">
        <v>21.0</v>
      </c>
      <c r="E352" s="10">
        <v>111.0</v>
      </c>
      <c r="F352" s="10">
        <v>2022.0</v>
      </c>
      <c r="G352" s="10"/>
    </row>
    <row r="353">
      <c r="A353" s="7">
        <v>44699.0</v>
      </c>
      <c r="B353" s="12" t="s">
        <v>35</v>
      </c>
      <c r="C353" s="11">
        <v>1457.0</v>
      </c>
      <c r="D353" s="10">
        <v>21.0</v>
      </c>
      <c r="E353" s="10">
        <v>111.0</v>
      </c>
      <c r="F353" s="10">
        <v>2022.0</v>
      </c>
      <c r="G353" s="10"/>
    </row>
    <row r="354">
      <c r="A354" s="7">
        <v>44699.0</v>
      </c>
      <c r="B354" s="12" t="s">
        <v>41</v>
      </c>
      <c r="C354" s="9">
        <v>77.0</v>
      </c>
      <c r="D354" s="10">
        <v>21.0</v>
      </c>
      <c r="E354" s="10">
        <v>111.0</v>
      </c>
      <c r="F354" s="10">
        <v>2022.0</v>
      </c>
      <c r="G354" s="10"/>
    </row>
    <row r="355">
      <c r="A355" s="7">
        <v>44699.0</v>
      </c>
      <c r="B355" s="12" t="s">
        <v>36</v>
      </c>
      <c r="C355" s="11">
        <v>2532.0</v>
      </c>
      <c r="D355" s="10">
        <v>21.0</v>
      </c>
      <c r="E355" s="10">
        <v>111.0</v>
      </c>
      <c r="F355" s="10">
        <v>2022.0</v>
      </c>
      <c r="G355" s="10"/>
    </row>
    <row r="356">
      <c r="A356" s="7">
        <v>44699.0</v>
      </c>
      <c r="B356" s="12" t="s">
        <v>37</v>
      </c>
      <c r="C356" s="11">
        <v>1842.0</v>
      </c>
      <c r="D356" s="10">
        <v>21.0</v>
      </c>
      <c r="E356" s="10">
        <v>111.0</v>
      </c>
      <c r="F356" s="10">
        <v>2022.0</v>
      </c>
      <c r="G356" s="10"/>
    </row>
    <row r="357">
      <c r="A357" s="7">
        <v>44699.0</v>
      </c>
      <c r="B357" s="12" t="s">
        <v>34</v>
      </c>
      <c r="C357" s="9">
        <v>450.0</v>
      </c>
      <c r="D357" s="10">
        <v>21.0</v>
      </c>
      <c r="E357" s="10">
        <v>111.0</v>
      </c>
      <c r="F357" s="10">
        <v>2022.0</v>
      </c>
      <c r="G357" s="10"/>
    </row>
    <row r="358">
      <c r="A358" s="7">
        <v>44699.0</v>
      </c>
      <c r="B358" s="12" t="s">
        <v>44</v>
      </c>
      <c r="C358" s="9">
        <v>118.0</v>
      </c>
      <c r="D358" s="10">
        <v>21.0</v>
      </c>
      <c r="E358" s="10">
        <v>111.0</v>
      </c>
      <c r="F358" s="10">
        <v>2022.0</v>
      </c>
      <c r="G358" s="10"/>
    </row>
    <row r="359">
      <c r="A359" s="7">
        <v>44699.0</v>
      </c>
      <c r="B359" s="12" t="s">
        <v>38</v>
      </c>
      <c r="C359" s="9">
        <v>165.0</v>
      </c>
      <c r="D359" s="10">
        <v>21.0</v>
      </c>
      <c r="E359" s="10">
        <v>111.0</v>
      </c>
      <c r="F359" s="10">
        <v>2022.0</v>
      </c>
      <c r="G359" s="10"/>
    </row>
    <row r="360">
      <c r="A360" s="7">
        <v>44699.0</v>
      </c>
      <c r="B360" s="12" t="s">
        <v>42</v>
      </c>
      <c r="C360" s="9">
        <v>500.0</v>
      </c>
      <c r="D360" s="10">
        <v>21.0</v>
      </c>
      <c r="E360" s="10">
        <v>111.0</v>
      </c>
      <c r="F360" s="10">
        <v>2022.0</v>
      </c>
      <c r="G360" s="10"/>
    </row>
    <row r="361">
      <c r="A361" s="7">
        <v>44699.0</v>
      </c>
      <c r="B361" s="12" t="s">
        <v>46</v>
      </c>
      <c r="C361" s="9">
        <v>208.0</v>
      </c>
      <c r="D361" s="10">
        <v>21.0</v>
      </c>
      <c r="E361" s="10">
        <v>111.0</v>
      </c>
      <c r="F361" s="10">
        <v>2022.0</v>
      </c>
      <c r="G361" s="10"/>
    </row>
    <row r="362">
      <c r="A362" s="7">
        <v>44699.0</v>
      </c>
      <c r="B362" s="12" t="s">
        <v>40</v>
      </c>
      <c r="C362" s="9">
        <v>256.0</v>
      </c>
      <c r="D362" s="10">
        <v>21.0</v>
      </c>
      <c r="E362" s="10">
        <v>111.0</v>
      </c>
      <c r="F362" s="10">
        <v>2022.0</v>
      </c>
      <c r="G362" s="10"/>
    </row>
    <row r="363">
      <c r="A363" s="7">
        <v>44699.0</v>
      </c>
      <c r="B363" s="12" t="s">
        <v>43</v>
      </c>
      <c r="C363" s="9">
        <v>121.0</v>
      </c>
      <c r="D363" s="10">
        <v>21.0</v>
      </c>
      <c r="E363" s="10">
        <v>111.0</v>
      </c>
      <c r="F363" s="10">
        <v>2022.0</v>
      </c>
      <c r="G363" s="10"/>
    </row>
    <row r="364">
      <c r="A364" s="7">
        <v>44713.0</v>
      </c>
      <c r="B364" s="12" t="s">
        <v>35</v>
      </c>
      <c r="C364" s="9">
        <v>634.0</v>
      </c>
      <c r="D364" s="10">
        <v>23.0</v>
      </c>
      <c r="E364" s="10">
        <v>113.0</v>
      </c>
      <c r="F364" s="10">
        <v>2022.0</v>
      </c>
      <c r="G364" s="10"/>
    </row>
    <row r="365">
      <c r="A365" s="7">
        <v>44713.0</v>
      </c>
      <c r="B365" s="12" t="s">
        <v>36</v>
      </c>
      <c r="C365" s="11">
        <v>1855.0</v>
      </c>
      <c r="D365" s="10">
        <v>23.0</v>
      </c>
      <c r="E365" s="10">
        <v>113.0</v>
      </c>
      <c r="F365" s="10">
        <v>2022.0</v>
      </c>
      <c r="G365" s="10"/>
    </row>
    <row r="366">
      <c r="A366" s="7">
        <v>44713.0</v>
      </c>
      <c r="B366" s="12" t="s">
        <v>37</v>
      </c>
      <c r="C366" s="11">
        <v>1695.0</v>
      </c>
      <c r="D366" s="10">
        <v>23.0</v>
      </c>
      <c r="E366" s="10">
        <v>113.0</v>
      </c>
      <c r="F366" s="10">
        <v>2022.0</v>
      </c>
      <c r="G366" s="10"/>
    </row>
    <row r="367">
      <c r="A367" s="7">
        <v>44713.0</v>
      </c>
      <c r="B367" s="12" t="s">
        <v>44</v>
      </c>
      <c r="C367" s="9">
        <v>76.0</v>
      </c>
      <c r="D367" s="10">
        <v>23.0</v>
      </c>
      <c r="E367" s="10">
        <v>113.0</v>
      </c>
      <c r="F367" s="10">
        <v>2022.0</v>
      </c>
      <c r="G367" s="10"/>
    </row>
    <row r="368">
      <c r="A368" s="7">
        <v>44713.0</v>
      </c>
      <c r="B368" s="12" t="s">
        <v>38</v>
      </c>
      <c r="C368" s="9">
        <v>433.0</v>
      </c>
      <c r="D368" s="10">
        <v>23.0</v>
      </c>
      <c r="E368" s="10">
        <v>113.0</v>
      </c>
      <c r="F368" s="10">
        <v>2022.0</v>
      </c>
      <c r="G368" s="10"/>
    </row>
    <row r="369">
      <c r="A369" s="7">
        <v>44713.0</v>
      </c>
      <c r="B369" s="12" t="s">
        <v>42</v>
      </c>
      <c r="C369" s="9">
        <v>434.0</v>
      </c>
      <c r="D369" s="10">
        <v>23.0</v>
      </c>
      <c r="E369" s="10">
        <v>113.0</v>
      </c>
      <c r="F369" s="10">
        <v>2022.0</v>
      </c>
      <c r="G369" s="10"/>
    </row>
    <row r="370">
      <c r="A370" s="7">
        <v>44713.0</v>
      </c>
      <c r="B370" s="12" t="s">
        <v>43</v>
      </c>
      <c r="C370" s="9">
        <v>128.0</v>
      </c>
      <c r="D370" s="10">
        <v>23.0</v>
      </c>
      <c r="E370" s="10">
        <v>113.0</v>
      </c>
      <c r="F370" s="10">
        <v>2022.0</v>
      </c>
      <c r="G370" s="10"/>
    </row>
    <row r="371">
      <c r="A371" s="7">
        <v>44720.0</v>
      </c>
      <c r="B371" s="12" t="s">
        <v>35</v>
      </c>
      <c r="C371" s="11">
        <v>1471.0</v>
      </c>
      <c r="D371" s="10">
        <v>24.0</v>
      </c>
      <c r="E371" s="10">
        <v>114.0</v>
      </c>
      <c r="F371" s="10">
        <v>2022.0</v>
      </c>
      <c r="G371" s="10"/>
    </row>
    <row r="372">
      <c r="A372" s="7">
        <v>44720.0</v>
      </c>
      <c r="B372" s="12" t="s">
        <v>41</v>
      </c>
      <c r="C372" s="9">
        <v>120.0</v>
      </c>
      <c r="D372" s="10">
        <v>24.0</v>
      </c>
      <c r="E372" s="10">
        <v>114.0</v>
      </c>
      <c r="F372" s="10">
        <v>2022.0</v>
      </c>
      <c r="G372" s="10"/>
    </row>
    <row r="373">
      <c r="A373" s="7">
        <v>44720.0</v>
      </c>
      <c r="B373" s="12" t="s">
        <v>36</v>
      </c>
      <c r="C373" s="11">
        <v>2404.0</v>
      </c>
      <c r="D373" s="10">
        <v>24.0</v>
      </c>
      <c r="E373" s="10">
        <v>114.0</v>
      </c>
      <c r="F373" s="10">
        <v>2022.0</v>
      </c>
      <c r="G373" s="10"/>
    </row>
    <row r="374">
      <c r="A374" s="7">
        <v>44720.0</v>
      </c>
      <c r="B374" s="12" t="s">
        <v>37</v>
      </c>
      <c r="C374" s="11">
        <v>2163.0</v>
      </c>
      <c r="D374" s="10">
        <v>24.0</v>
      </c>
      <c r="E374" s="10">
        <v>114.0</v>
      </c>
      <c r="F374" s="10">
        <v>2022.0</v>
      </c>
      <c r="G374" s="10"/>
    </row>
    <row r="375">
      <c r="A375" s="7">
        <v>44720.0</v>
      </c>
      <c r="B375" s="12" t="s">
        <v>34</v>
      </c>
      <c r="C375" s="11">
        <v>1809.0</v>
      </c>
      <c r="D375" s="10">
        <v>24.0</v>
      </c>
      <c r="E375" s="10">
        <v>114.0</v>
      </c>
      <c r="F375" s="10">
        <v>2022.0</v>
      </c>
      <c r="G375" s="10"/>
    </row>
    <row r="376">
      <c r="A376" s="7">
        <v>44720.0</v>
      </c>
      <c r="B376" s="12" t="s">
        <v>44</v>
      </c>
      <c r="C376" s="9">
        <v>270.0</v>
      </c>
      <c r="D376" s="10">
        <v>24.0</v>
      </c>
      <c r="E376" s="10">
        <v>114.0</v>
      </c>
      <c r="F376" s="10">
        <v>2022.0</v>
      </c>
      <c r="G376" s="10"/>
    </row>
    <row r="377">
      <c r="A377" s="7">
        <v>44720.0</v>
      </c>
      <c r="B377" s="12" t="s">
        <v>38</v>
      </c>
      <c r="C377" s="9">
        <v>453.0</v>
      </c>
      <c r="D377" s="10">
        <v>24.0</v>
      </c>
      <c r="E377" s="10">
        <v>114.0</v>
      </c>
      <c r="F377" s="10">
        <v>2022.0</v>
      </c>
      <c r="G377" s="10"/>
    </row>
    <row r="378">
      <c r="A378" s="7">
        <v>44720.0</v>
      </c>
      <c r="B378" s="12" t="s">
        <v>42</v>
      </c>
      <c r="C378" s="9">
        <v>70.0</v>
      </c>
      <c r="D378" s="10">
        <v>24.0</v>
      </c>
      <c r="E378" s="10">
        <v>114.0</v>
      </c>
      <c r="F378" s="10">
        <v>2022.0</v>
      </c>
      <c r="G378" s="10"/>
    </row>
    <row r="379">
      <c r="A379" s="7">
        <v>44720.0</v>
      </c>
      <c r="B379" s="12" t="s">
        <v>46</v>
      </c>
      <c r="C379" s="9">
        <v>19.0</v>
      </c>
      <c r="D379" s="10">
        <v>24.0</v>
      </c>
      <c r="E379" s="10">
        <v>114.0</v>
      </c>
      <c r="F379" s="10">
        <v>2022.0</v>
      </c>
      <c r="G379" s="10"/>
    </row>
    <row r="380">
      <c r="A380" s="7">
        <v>44720.0</v>
      </c>
      <c r="B380" s="12" t="s">
        <v>40</v>
      </c>
      <c r="C380" s="9">
        <v>20.0</v>
      </c>
      <c r="D380" s="10">
        <v>24.0</v>
      </c>
      <c r="E380" s="10">
        <v>114.0</v>
      </c>
      <c r="F380" s="10">
        <v>2022.0</v>
      </c>
      <c r="G380" s="10"/>
    </row>
    <row r="381">
      <c r="A381" s="7">
        <v>44720.0</v>
      </c>
      <c r="B381" s="12" t="s">
        <v>43</v>
      </c>
      <c r="C381" s="9">
        <v>170.0</v>
      </c>
      <c r="D381" s="10">
        <v>24.0</v>
      </c>
      <c r="E381" s="10">
        <v>114.0</v>
      </c>
      <c r="F381" s="10">
        <v>2022.0</v>
      </c>
      <c r="G381" s="10"/>
    </row>
    <row r="382">
      <c r="A382" s="7">
        <v>44727.0</v>
      </c>
      <c r="B382" s="12" t="s">
        <v>35</v>
      </c>
      <c r="C382" s="11">
        <v>1232.0</v>
      </c>
      <c r="D382" s="10">
        <v>25.0</v>
      </c>
      <c r="E382" s="10">
        <v>115.0</v>
      </c>
      <c r="F382" s="10">
        <v>2022.0</v>
      </c>
      <c r="G382" s="10"/>
    </row>
    <row r="383">
      <c r="A383" s="7">
        <v>44727.0</v>
      </c>
      <c r="B383" s="12" t="s">
        <v>36</v>
      </c>
      <c r="C383" s="11">
        <v>2032.0</v>
      </c>
      <c r="D383" s="10">
        <v>25.0</v>
      </c>
      <c r="E383" s="10">
        <v>115.0</v>
      </c>
      <c r="F383" s="10">
        <v>2022.0</v>
      </c>
      <c r="G383" s="10"/>
    </row>
    <row r="384">
      <c r="A384" s="7">
        <v>44727.0</v>
      </c>
      <c r="B384" s="12" t="s">
        <v>37</v>
      </c>
      <c r="C384" s="11">
        <v>2841.0</v>
      </c>
      <c r="D384" s="10">
        <v>25.0</v>
      </c>
      <c r="E384" s="10">
        <v>115.0</v>
      </c>
      <c r="F384" s="10">
        <v>2022.0</v>
      </c>
      <c r="G384" s="10"/>
    </row>
    <row r="385">
      <c r="A385" s="7">
        <v>44727.0</v>
      </c>
      <c r="B385" s="12" t="s">
        <v>34</v>
      </c>
      <c r="C385" s="9">
        <v>450.0</v>
      </c>
      <c r="D385" s="10">
        <v>25.0</v>
      </c>
      <c r="E385" s="10">
        <v>115.0</v>
      </c>
      <c r="F385" s="10">
        <v>2022.0</v>
      </c>
      <c r="G385" s="10"/>
    </row>
    <row r="386">
      <c r="A386" s="7">
        <v>44727.0</v>
      </c>
      <c r="B386" s="12" t="s">
        <v>44</v>
      </c>
      <c r="C386" s="9">
        <v>93.0</v>
      </c>
      <c r="D386" s="10">
        <v>25.0</v>
      </c>
      <c r="E386" s="10">
        <v>115.0</v>
      </c>
      <c r="F386" s="10">
        <v>2022.0</v>
      </c>
      <c r="G386" s="10"/>
    </row>
    <row r="387">
      <c r="A387" s="7">
        <v>44727.0</v>
      </c>
      <c r="B387" s="12" t="s">
        <v>38</v>
      </c>
      <c r="C387" s="9">
        <v>557.0</v>
      </c>
      <c r="D387" s="10">
        <v>25.0</v>
      </c>
      <c r="E387" s="10">
        <v>115.0</v>
      </c>
      <c r="F387" s="10">
        <v>2022.0</v>
      </c>
      <c r="G387" s="10"/>
    </row>
    <row r="388">
      <c r="A388" s="7">
        <v>44727.0</v>
      </c>
      <c r="B388" s="12" t="s">
        <v>42</v>
      </c>
      <c r="C388" s="11">
        <v>1170.0</v>
      </c>
      <c r="D388" s="10">
        <v>25.0</v>
      </c>
      <c r="E388" s="10">
        <v>115.0</v>
      </c>
      <c r="F388" s="10">
        <v>2022.0</v>
      </c>
      <c r="G388" s="10"/>
    </row>
    <row r="389">
      <c r="A389" s="7">
        <v>44727.0</v>
      </c>
      <c r="B389" s="12" t="s">
        <v>43</v>
      </c>
      <c r="C389" s="9">
        <v>160.0</v>
      </c>
      <c r="D389" s="10">
        <v>25.0</v>
      </c>
      <c r="E389" s="10">
        <v>115.0</v>
      </c>
      <c r="F389" s="10">
        <v>2022.0</v>
      </c>
      <c r="G389" s="10"/>
    </row>
    <row r="390">
      <c r="A390" s="7">
        <v>44734.0</v>
      </c>
      <c r="B390" s="12" t="s">
        <v>35</v>
      </c>
      <c r="C390" s="11">
        <v>1147.0</v>
      </c>
      <c r="D390" s="10">
        <v>26.0</v>
      </c>
      <c r="E390" s="10">
        <v>116.0</v>
      </c>
      <c r="F390" s="10">
        <v>2022.0</v>
      </c>
      <c r="G390" s="10"/>
    </row>
    <row r="391">
      <c r="A391" s="7">
        <v>44734.0</v>
      </c>
      <c r="B391" s="12" t="s">
        <v>41</v>
      </c>
      <c r="C391" s="9">
        <v>114.0</v>
      </c>
      <c r="D391" s="10">
        <v>26.0</v>
      </c>
      <c r="E391" s="10">
        <v>116.0</v>
      </c>
      <c r="F391" s="10">
        <v>2022.0</v>
      </c>
      <c r="G391" s="10"/>
    </row>
    <row r="392">
      <c r="A392" s="7">
        <v>44734.0</v>
      </c>
      <c r="B392" s="12" t="s">
        <v>36</v>
      </c>
      <c r="C392" s="11">
        <v>3174.0</v>
      </c>
      <c r="D392" s="10">
        <v>26.0</v>
      </c>
      <c r="E392" s="10">
        <v>116.0</v>
      </c>
      <c r="F392" s="10">
        <v>2022.0</v>
      </c>
      <c r="G392" s="10"/>
    </row>
    <row r="393">
      <c r="A393" s="7">
        <v>44734.0</v>
      </c>
      <c r="B393" s="12" t="s">
        <v>37</v>
      </c>
      <c r="C393" s="11">
        <v>2897.0</v>
      </c>
      <c r="D393" s="10">
        <v>26.0</v>
      </c>
      <c r="E393" s="10">
        <v>116.0</v>
      </c>
      <c r="F393" s="10">
        <v>2022.0</v>
      </c>
      <c r="G393" s="10"/>
    </row>
    <row r="394">
      <c r="A394" s="7">
        <v>44734.0</v>
      </c>
      <c r="B394" s="12" t="s">
        <v>34</v>
      </c>
      <c r="C394" s="11">
        <v>1750.0</v>
      </c>
      <c r="D394" s="10">
        <v>26.0</v>
      </c>
      <c r="E394" s="10">
        <v>116.0</v>
      </c>
      <c r="F394" s="10">
        <v>2022.0</v>
      </c>
      <c r="G394" s="10"/>
    </row>
    <row r="395">
      <c r="A395" s="7">
        <v>44734.0</v>
      </c>
      <c r="B395" s="12" t="s">
        <v>44</v>
      </c>
      <c r="C395" s="9">
        <v>235.0</v>
      </c>
      <c r="D395" s="10">
        <v>26.0</v>
      </c>
      <c r="E395" s="10">
        <v>116.0</v>
      </c>
      <c r="F395" s="10">
        <v>2022.0</v>
      </c>
      <c r="G395" s="10"/>
    </row>
    <row r="396">
      <c r="A396" s="7">
        <v>44734.0</v>
      </c>
      <c r="B396" s="12" t="s">
        <v>38</v>
      </c>
      <c r="C396" s="9">
        <v>703.0</v>
      </c>
      <c r="D396" s="10">
        <v>26.0</v>
      </c>
      <c r="E396" s="10">
        <v>116.0</v>
      </c>
      <c r="F396" s="10">
        <v>2022.0</v>
      </c>
      <c r="G396" s="10"/>
    </row>
    <row r="397">
      <c r="A397" s="7">
        <v>44734.0</v>
      </c>
      <c r="B397" s="12" t="s">
        <v>42</v>
      </c>
      <c r="C397" s="9">
        <v>278.0</v>
      </c>
      <c r="D397" s="10">
        <v>26.0</v>
      </c>
      <c r="E397" s="10">
        <v>116.0</v>
      </c>
      <c r="F397" s="10">
        <v>2022.0</v>
      </c>
      <c r="G397" s="10"/>
    </row>
    <row r="398">
      <c r="A398" s="7">
        <v>44734.0</v>
      </c>
      <c r="B398" s="12" t="s">
        <v>46</v>
      </c>
      <c r="C398" s="9">
        <v>20.0</v>
      </c>
      <c r="D398" s="10">
        <v>26.0</v>
      </c>
      <c r="E398" s="10">
        <v>116.0</v>
      </c>
      <c r="F398" s="10">
        <v>2022.0</v>
      </c>
      <c r="G398" s="10"/>
    </row>
    <row r="399">
      <c r="A399" s="7">
        <v>44734.0</v>
      </c>
      <c r="B399" s="12" t="s">
        <v>40</v>
      </c>
      <c r="C399" s="9">
        <v>44.0</v>
      </c>
      <c r="D399" s="10">
        <v>26.0</v>
      </c>
      <c r="E399" s="10">
        <v>116.0</v>
      </c>
      <c r="F399" s="10">
        <v>2022.0</v>
      </c>
      <c r="G399" s="10"/>
    </row>
    <row r="400">
      <c r="A400" s="7">
        <v>44734.0</v>
      </c>
      <c r="B400" s="12" t="s">
        <v>43</v>
      </c>
      <c r="C400" s="9">
        <v>104.0</v>
      </c>
      <c r="D400" s="10">
        <v>26.0</v>
      </c>
      <c r="E400" s="10">
        <v>116.0</v>
      </c>
      <c r="F400" s="10">
        <v>2022.0</v>
      </c>
      <c r="G400" s="10"/>
    </row>
    <row r="401">
      <c r="A401" s="7">
        <v>44741.0</v>
      </c>
      <c r="B401" s="8" t="s">
        <v>35</v>
      </c>
      <c r="C401" s="11">
        <v>2340.0</v>
      </c>
      <c r="D401" s="10">
        <v>27.0</v>
      </c>
      <c r="E401" s="10">
        <v>117.0</v>
      </c>
      <c r="F401" s="10">
        <v>2022.0</v>
      </c>
      <c r="G401" s="10"/>
    </row>
    <row r="402">
      <c r="A402" s="7">
        <v>44741.0</v>
      </c>
      <c r="B402" s="8" t="s">
        <v>41</v>
      </c>
      <c r="C402" s="9">
        <v>54.0</v>
      </c>
      <c r="D402" s="10">
        <v>27.0</v>
      </c>
      <c r="E402" s="10">
        <v>117.0</v>
      </c>
      <c r="F402" s="10">
        <v>2022.0</v>
      </c>
      <c r="G402" s="10"/>
    </row>
    <row r="403">
      <c r="A403" s="7">
        <v>44741.0</v>
      </c>
      <c r="B403" s="8" t="s">
        <v>36</v>
      </c>
      <c r="C403" s="11">
        <v>1837.0</v>
      </c>
      <c r="D403" s="10">
        <v>27.0</v>
      </c>
      <c r="E403" s="10">
        <v>117.0</v>
      </c>
      <c r="F403" s="10">
        <v>2022.0</v>
      </c>
      <c r="G403" s="10"/>
    </row>
    <row r="404">
      <c r="A404" s="7">
        <v>44741.0</v>
      </c>
      <c r="B404" s="8" t="s">
        <v>37</v>
      </c>
      <c r="C404" s="11">
        <v>3182.0</v>
      </c>
      <c r="D404" s="10">
        <v>27.0</v>
      </c>
      <c r="E404" s="10">
        <v>117.0</v>
      </c>
      <c r="F404" s="10">
        <v>2022.0</v>
      </c>
      <c r="G404" s="10"/>
    </row>
    <row r="405">
      <c r="A405" s="7">
        <v>44741.0</v>
      </c>
      <c r="B405" s="8" t="s">
        <v>34</v>
      </c>
      <c r="C405" s="9">
        <v>151.0</v>
      </c>
      <c r="D405" s="10">
        <v>27.0</v>
      </c>
      <c r="E405" s="10">
        <v>117.0</v>
      </c>
      <c r="F405" s="10">
        <v>2022.0</v>
      </c>
      <c r="G405" s="10"/>
    </row>
    <row r="406">
      <c r="A406" s="7">
        <v>44741.0</v>
      </c>
      <c r="B406" s="8" t="s">
        <v>44</v>
      </c>
      <c r="C406" s="9">
        <v>185.0</v>
      </c>
      <c r="D406" s="10">
        <v>27.0</v>
      </c>
      <c r="E406" s="10">
        <v>117.0</v>
      </c>
      <c r="F406" s="10">
        <v>2022.0</v>
      </c>
      <c r="G406" s="10"/>
    </row>
    <row r="407">
      <c r="A407" s="7">
        <v>44741.0</v>
      </c>
      <c r="B407" s="12" t="s">
        <v>38</v>
      </c>
      <c r="C407" s="9">
        <v>591.0</v>
      </c>
      <c r="D407" s="10">
        <v>27.0</v>
      </c>
      <c r="E407" s="10">
        <v>117.0</v>
      </c>
      <c r="F407" s="10">
        <v>2022.0</v>
      </c>
      <c r="G407" s="10"/>
    </row>
    <row r="408">
      <c r="A408" s="7">
        <v>44741.0</v>
      </c>
      <c r="B408" s="8" t="s">
        <v>46</v>
      </c>
      <c r="C408" s="9">
        <v>197.0</v>
      </c>
      <c r="D408" s="10">
        <v>27.0</v>
      </c>
      <c r="E408" s="10">
        <v>117.0</v>
      </c>
      <c r="F408" s="10">
        <v>2022.0</v>
      </c>
      <c r="G408" s="10"/>
    </row>
    <row r="409">
      <c r="A409" s="7">
        <v>44741.0</v>
      </c>
      <c r="B409" s="8" t="s">
        <v>40</v>
      </c>
      <c r="C409" s="9">
        <v>80.0</v>
      </c>
      <c r="D409" s="10">
        <v>27.0</v>
      </c>
      <c r="E409" s="10">
        <v>117.0</v>
      </c>
      <c r="F409" s="10">
        <v>2022.0</v>
      </c>
      <c r="G409" s="10"/>
    </row>
    <row r="410">
      <c r="A410" s="7">
        <v>44741.0</v>
      </c>
      <c r="B410" s="8" t="s">
        <v>43</v>
      </c>
      <c r="C410" s="9">
        <v>82.0</v>
      </c>
      <c r="D410" s="10">
        <v>27.0</v>
      </c>
      <c r="E410" s="10">
        <v>117.0</v>
      </c>
      <c r="F410" s="10">
        <v>2022.0</v>
      </c>
      <c r="G410" s="10"/>
    </row>
    <row r="411">
      <c r="A411" s="7">
        <v>44748.0</v>
      </c>
      <c r="B411" s="8" t="s">
        <v>35</v>
      </c>
      <c r="C411" s="11">
        <v>1144.0</v>
      </c>
      <c r="D411" s="10">
        <v>28.0</v>
      </c>
      <c r="E411" s="10">
        <v>118.0</v>
      </c>
      <c r="F411" s="10">
        <v>2022.0</v>
      </c>
      <c r="G411" s="10"/>
    </row>
    <row r="412">
      <c r="A412" s="7">
        <v>44748.0</v>
      </c>
      <c r="B412" s="8" t="s">
        <v>41</v>
      </c>
      <c r="C412" s="9">
        <v>107.0</v>
      </c>
      <c r="D412" s="10">
        <v>28.0</v>
      </c>
      <c r="E412" s="10">
        <v>118.0</v>
      </c>
      <c r="F412" s="10">
        <v>2022.0</v>
      </c>
      <c r="G412" s="10"/>
    </row>
    <row r="413">
      <c r="A413" s="7">
        <v>44748.0</v>
      </c>
      <c r="B413" s="8" t="s">
        <v>36</v>
      </c>
      <c r="C413" s="11">
        <v>1067.0</v>
      </c>
      <c r="D413" s="10">
        <v>28.0</v>
      </c>
      <c r="E413" s="10">
        <v>118.0</v>
      </c>
      <c r="F413" s="10">
        <v>2022.0</v>
      </c>
      <c r="G413" s="10"/>
    </row>
    <row r="414">
      <c r="A414" s="7">
        <v>44748.0</v>
      </c>
      <c r="B414" s="8" t="s">
        <v>37</v>
      </c>
      <c r="C414" s="11">
        <v>2167.0</v>
      </c>
      <c r="D414" s="10">
        <v>28.0</v>
      </c>
      <c r="E414" s="10">
        <v>118.0</v>
      </c>
      <c r="F414" s="10">
        <v>2022.0</v>
      </c>
      <c r="G414" s="10"/>
    </row>
    <row r="415">
      <c r="A415" s="7">
        <v>44748.0</v>
      </c>
      <c r="B415" s="8" t="s">
        <v>44</v>
      </c>
      <c r="C415" s="9">
        <v>210.0</v>
      </c>
      <c r="D415" s="10">
        <v>28.0</v>
      </c>
      <c r="E415" s="10">
        <v>118.0</v>
      </c>
      <c r="F415" s="10">
        <v>2022.0</v>
      </c>
      <c r="G415" s="10"/>
    </row>
    <row r="416">
      <c r="A416" s="7">
        <v>44748.0</v>
      </c>
      <c r="B416" s="8" t="s">
        <v>38</v>
      </c>
      <c r="C416" s="9">
        <v>341.0</v>
      </c>
      <c r="D416" s="10">
        <v>28.0</v>
      </c>
      <c r="E416" s="10">
        <v>118.0</v>
      </c>
      <c r="F416" s="10">
        <v>2022.0</v>
      </c>
      <c r="G416" s="10"/>
    </row>
    <row r="417">
      <c r="A417" s="7">
        <v>44748.0</v>
      </c>
      <c r="B417" s="8" t="s">
        <v>42</v>
      </c>
      <c r="C417" s="9">
        <v>107.0</v>
      </c>
      <c r="D417" s="10">
        <v>28.0</v>
      </c>
      <c r="E417" s="10">
        <v>118.0</v>
      </c>
      <c r="F417" s="10">
        <v>2022.0</v>
      </c>
      <c r="G417" s="10"/>
    </row>
    <row r="418">
      <c r="A418" s="7">
        <v>44748.0</v>
      </c>
      <c r="B418" s="8" t="s">
        <v>40</v>
      </c>
      <c r="C418" s="9">
        <v>170.0</v>
      </c>
      <c r="D418" s="10">
        <v>28.0</v>
      </c>
      <c r="E418" s="10">
        <v>118.0</v>
      </c>
      <c r="F418" s="10">
        <v>2022.0</v>
      </c>
      <c r="G418" s="10"/>
    </row>
    <row r="419">
      <c r="A419" s="7">
        <v>44748.0</v>
      </c>
      <c r="B419" s="8" t="s">
        <v>43</v>
      </c>
      <c r="C419" s="9">
        <v>187.0</v>
      </c>
      <c r="D419" s="10">
        <v>28.0</v>
      </c>
      <c r="E419" s="10">
        <v>118.0</v>
      </c>
      <c r="F419" s="10">
        <v>2022.0</v>
      </c>
      <c r="G419" s="10"/>
    </row>
    <row r="420">
      <c r="A420" s="7">
        <v>44755.0</v>
      </c>
      <c r="B420" s="8" t="s">
        <v>35</v>
      </c>
      <c r="C420" s="11">
        <v>2688.0</v>
      </c>
      <c r="D420" s="10">
        <v>29.0</v>
      </c>
      <c r="E420" s="10">
        <v>119.0</v>
      </c>
      <c r="F420" s="10">
        <v>2022.0</v>
      </c>
      <c r="G420" s="10"/>
    </row>
    <row r="421">
      <c r="A421" s="7">
        <v>44755.0</v>
      </c>
      <c r="B421" s="8" t="s">
        <v>41</v>
      </c>
      <c r="C421" s="9">
        <v>66.0</v>
      </c>
      <c r="D421" s="10">
        <v>29.0</v>
      </c>
      <c r="E421" s="10">
        <v>119.0</v>
      </c>
      <c r="F421" s="10">
        <v>2022.0</v>
      </c>
      <c r="G421" s="10"/>
    </row>
    <row r="422">
      <c r="A422" s="7">
        <v>44755.0</v>
      </c>
      <c r="B422" s="8" t="s">
        <v>36</v>
      </c>
      <c r="C422" s="11">
        <v>1645.0</v>
      </c>
      <c r="D422" s="10">
        <v>29.0</v>
      </c>
      <c r="E422" s="10">
        <v>119.0</v>
      </c>
      <c r="F422" s="10">
        <v>2022.0</v>
      </c>
      <c r="G422" s="10"/>
    </row>
    <row r="423">
      <c r="A423" s="7">
        <v>44755.0</v>
      </c>
      <c r="B423" s="8" t="s">
        <v>37</v>
      </c>
      <c r="C423" s="11">
        <v>2168.0</v>
      </c>
      <c r="D423" s="10">
        <v>29.0</v>
      </c>
      <c r="E423" s="10">
        <v>119.0</v>
      </c>
      <c r="F423" s="10">
        <v>2022.0</v>
      </c>
      <c r="G423" s="10"/>
    </row>
    <row r="424">
      <c r="A424" s="7">
        <v>44755.0</v>
      </c>
      <c r="B424" s="8" t="s">
        <v>38</v>
      </c>
      <c r="C424" s="9">
        <v>370.0</v>
      </c>
      <c r="D424" s="10">
        <v>29.0</v>
      </c>
      <c r="E424" s="10">
        <v>119.0</v>
      </c>
      <c r="F424" s="10">
        <v>2022.0</v>
      </c>
      <c r="G424" s="10"/>
    </row>
    <row r="425">
      <c r="A425" s="7">
        <v>44755.0</v>
      </c>
      <c r="B425" s="8" t="s">
        <v>42</v>
      </c>
      <c r="C425" s="9">
        <v>176.0</v>
      </c>
      <c r="D425" s="10">
        <v>29.0</v>
      </c>
      <c r="E425" s="10">
        <v>119.0</v>
      </c>
      <c r="F425" s="10">
        <v>2022.0</v>
      </c>
      <c r="G425" s="10"/>
    </row>
    <row r="426">
      <c r="A426" s="7">
        <v>44755.0</v>
      </c>
      <c r="B426" s="8" t="s">
        <v>46</v>
      </c>
      <c r="C426" s="9">
        <v>106.0</v>
      </c>
      <c r="D426" s="10">
        <v>29.0</v>
      </c>
      <c r="E426" s="10">
        <v>119.0</v>
      </c>
      <c r="F426" s="10">
        <v>2022.0</v>
      </c>
      <c r="G426" s="10"/>
    </row>
    <row r="427">
      <c r="A427" s="7">
        <v>44755.0</v>
      </c>
      <c r="B427" s="8" t="s">
        <v>40</v>
      </c>
      <c r="C427" s="9">
        <v>67.0</v>
      </c>
      <c r="D427" s="10">
        <v>29.0</v>
      </c>
      <c r="E427" s="10">
        <v>119.0</v>
      </c>
      <c r="F427" s="10">
        <v>2022.0</v>
      </c>
      <c r="G427" s="10"/>
    </row>
    <row r="428">
      <c r="A428" s="7">
        <v>44755.0</v>
      </c>
      <c r="B428" s="8" t="s">
        <v>43</v>
      </c>
      <c r="C428" s="9">
        <v>99.0</v>
      </c>
      <c r="D428" s="10">
        <v>29.0</v>
      </c>
      <c r="E428" s="10">
        <v>119.0</v>
      </c>
      <c r="F428" s="10">
        <v>2022.0</v>
      </c>
      <c r="G428" s="10"/>
    </row>
    <row r="429">
      <c r="A429" s="7">
        <v>44762.0</v>
      </c>
      <c r="B429" s="8" t="s">
        <v>35</v>
      </c>
      <c r="C429" s="9">
        <v>528.0</v>
      </c>
      <c r="D429" s="10">
        <v>30.0</v>
      </c>
      <c r="E429" s="10">
        <v>120.0</v>
      </c>
      <c r="F429" s="10">
        <v>2022.0</v>
      </c>
      <c r="G429" s="10"/>
    </row>
    <row r="430">
      <c r="A430" s="7">
        <v>44762.0</v>
      </c>
      <c r="B430" s="8" t="s">
        <v>36</v>
      </c>
      <c r="C430" s="11">
        <v>2046.0</v>
      </c>
      <c r="D430" s="10">
        <v>30.0</v>
      </c>
      <c r="E430" s="10">
        <v>120.0</v>
      </c>
      <c r="F430" s="10">
        <v>2022.0</v>
      </c>
      <c r="G430" s="10"/>
    </row>
    <row r="431">
      <c r="A431" s="7">
        <v>44762.0</v>
      </c>
      <c r="B431" s="8" t="s">
        <v>37</v>
      </c>
      <c r="C431" s="11">
        <v>2533.0</v>
      </c>
      <c r="D431" s="10">
        <v>30.0</v>
      </c>
      <c r="E431" s="10">
        <v>120.0</v>
      </c>
      <c r="F431" s="10">
        <v>2022.0</v>
      </c>
      <c r="G431" s="10"/>
    </row>
    <row r="432">
      <c r="A432" s="7">
        <v>44762.0</v>
      </c>
      <c r="B432" s="8" t="s">
        <v>34</v>
      </c>
      <c r="C432" s="11">
        <v>1740.0</v>
      </c>
      <c r="D432" s="10">
        <v>30.0</v>
      </c>
      <c r="E432" s="10">
        <v>120.0</v>
      </c>
      <c r="F432" s="10">
        <v>2022.0</v>
      </c>
      <c r="G432" s="10"/>
    </row>
    <row r="433">
      <c r="A433" s="7">
        <v>44762.0</v>
      </c>
      <c r="B433" s="8" t="s">
        <v>44</v>
      </c>
      <c r="C433" s="9">
        <v>268.0</v>
      </c>
      <c r="D433" s="10">
        <v>30.0</v>
      </c>
      <c r="E433" s="10">
        <v>120.0</v>
      </c>
      <c r="F433" s="10">
        <v>2022.0</v>
      </c>
      <c r="G433" s="10"/>
    </row>
    <row r="434">
      <c r="A434" s="7">
        <v>44762.0</v>
      </c>
      <c r="B434" s="8" t="s">
        <v>38</v>
      </c>
      <c r="C434" s="9">
        <v>272.0</v>
      </c>
      <c r="D434" s="10">
        <v>30.0</v>
      </c>
      <c r="E434" s="10">
        <v>120.0</v>
      </c>
      <c r="F434" s="10">
        <v>2022.0</v>
      </c>
      <c r="G434" s="10"/>
    </row>
    <row r="435">
      <c r="A435" s="7">
        <v>44762.0</v>
      </c>
      <c r="B435" s="8" t="s">
        <v>42</v>
      </c>
      <c r="C435" s="9">
        <v>423.0</v>
      </c>
      <c r="D435" s="10">
        <v>30.0</v>
      </c>
      <c r="E435" s="10">
        <v>120.0</v>
      </c>
      <c r="F435" s="10">
        <v>2022.0</v>
      </c>
      <c r="G435" s="10"/>
    </row>
    <row r="436">
      <c r="A436" s="7">
        <v>44762.0</v>
      </c>
      <c r="B436" s="8" t="s">
        <v>46</v>
      </c>
      <c r="C436" s="9">
        <v>70.0</v>
      </c>
      <c r="D436" s="10">
        <v>30.0</v>
      </c>
      <c r="E436" s="10">
        <v>120.0</v>
      </c>
      <c r="F436" s="10">
        <v>2022.0</v>
      </c>
      <c r="G436" s="10"/>
    </row>
    <row r="437">
      <c r="A437" s="7">
        <v>44762.0</v>
      </c>
      <c r="B437" s="8" t="s">
        <v>40</v>
      </c>
      <c r="C437" s="9">
        <v>104.0</v>
      </c>
      <c r="D437" s="10">
        <v>30.0</v>
      </c>
      <c r="E437" s="10">
        <v>120.0</v>
      </c>
      <c r="F437" s="10">
        <v>2022.0</v>
      </c>
      <c r="G437" s="10"/>
    </row>
    <row r="438">
      <c r="A438" s="7">
        <v>44762.0</v>
      </c>
      <c r="B438" s="8" t="s">
        <v>43</v>
      </c>
      <c r="C438" s="9">
        <v>172.0</v>
      </c>
      <c r="D438" s="10">
        <v>30.0</v>
      </c>
      <c r="E438" s="10">
        <v>120.0</v>
      </c>
      <c r="F438" s="10">
        <v>2022.0</v>
      </c>
      <c r="G438" s="10"/>
    </row>
    <row r="439">
      <c r="A439" s="7">
        <v>44769.0</v>
      </c>
      <c r="B439" s="8" t="s">
        <v>35</v>
      </c>
      <c r="C439" s="11">
        <v>1068.0</v>
      </c>
      <c r="D439" s="10">
        <v>31.0</v>
      </c>
      <c r="E439" s="10">
        <v>121.0</v>
      </c>
      <c r="F439" s="10">
        <v>2022.0</v>
      </c>
      <c r="G439" s="10"/>
    </row>
    <row r="440">
      <c r="A440" s="7">
        <v>44769.0</v>
      </c>
      <c r="B440" s="8" t="s">
        <v>41</v>
      </c>
      <c r="C440" s="9">
        <v>104.0</v>
      </c>
      <c r="D440" s="10">
        <v>31.0</v>
      </c>
      <c r="E440" s="10">
        <v>121.0</v>
      </c>
      <c r="F440" s="10">
        <v>2022.0</v>
      </c>
      <c r="G440" s="10"/>
    </row>
    <row r="441">
      <c r="A441" s="7">
        <v>44769.0</v>
      </c>
      <c r="B441" s="8" t="s">
        <v>36</v>
      </c>
      <c r="C441" s="11">
        <v>1970.0</v>
      </c>
      <c r="D441" s="10">
        <v>31.0</v>
      </c>
      <c r="E441" s="10">
        <v>121.0</v>
      </c>
      <c r="F441" s="10">
        <v>2022.0</v>
      </c>
      <c r="G441" s="10"/>
    </row>
    <row r="442">
      <c r="A442" s="7">
        <v>44769.0</v>
      </c>
      <c r="B442" s="8" t="s">
        <v>37</v>
      </c>
      <c r="C442" s="11">
        <v>2538.0</v>
      </c>
      <c r="D442" s="10">
        <v>31.0</v>
      </c>
      <c r="E442" s="10">
        <v>121.0</v>
      </c>
      <c r="F442" s="10">
        <v>2022.0</v>
      </c>
      <c r="G442" s="10"/>
    </row>
    <row r="443">
      <c r="A443" s="7">
        <v>44769.0</v>
      </c>
      <c r="B443" s="8" t="s">
        <v>34</v>
      </c>
      <c r="C443" s="9">
        <v>525.0</v>
      </c>
      <c r="D443" s="10">
        <v>31.0</v>
      </c>
      <c r="E443" s="10">
        <v>121.0</v>
      </c>
      <c r="F443" s="10">
        <v>2022.0</v>
      </c>
      <c r="G443" s="10"/>
    </row>
    <row r="444">
      <c r="A444" s="7">
        <v>44769.0</v>
      </c>
      <c r="B444" s="8" t="s">
        <v>44</v>
      </c>
      <c r="C444" s="9">
        <v>90.0</v>
      </c>
      <c r="D444" s="10">
        <v>31.0</v>
      </c>
      <c r="E444" s="10">
        <v>121.0</v>
      </c>
      <c r="F444" s="10">
        <v>2022.0</v>
      </c>
      <c r="G444" s="10"/>
    </row>
    <row r="445">
      <c r="A445" s="7">
        <v>44769.0</v>
      </c>
      <c r="B445" s="8" t="s">
        <v>38</v>
      </c>
      <c r="C445" s="9">
        <v>232.0</v>
      </c>
      <c r="D445" s="10">
        <v>31.0</v>
      </c>
      <c r="E445" s="10">
        <v>121.0</v>
      </c>
      <c r="F445" s="10">
        <v>2022.0</v>
      </c>
      <c r="G445" s="10"/>
    </row>
    <row r="446">
      <c r="A446" s="7">
        <v>44769.0</v>
      </c>
      <c r="B446" s="8" t="s">
        <v>42</v>
      </c>
      <c r="C446" s="9">
        <v>305.0</v>
      </c>
      <c r="D446" s="10">
        <v>31.0</v>
      </c>
      <c r="E446" s="10">
        <v>121.0</v>
      </c>
      <c r="F446" s="10">
        <v>2022.0</v>
      </c>
      <c r="G446" s="10"/>
    </row>
    <row r="447">
      <c r="A447" s="7">
        <v>44769.0</v>
      </c>
      <c r="B447" s="8" t="s">
        <v>43</v>
      </c>
      <c r="C447" s="9">
        <v>142.0</v>
      </c>
      <c r="D447" s="10">
        <v>31.0</v>
      </c>
      <c r="E447" s="10">
        <v>121.0</v>
      </c>
      <c r="F447" s="10">
        <v>2022.0</v>
      </c>
      <c r="G447" s="10"/>
    </row>
    <row r="448">
      <c r="A448" s="7">
        <v>44776.0</v>
      </c>
      <c r="B448" s="8" t="s">
        <v>35</v>
      </c>
      <c r="C448" s="9">
        <v>760.0</v>
      </c>
      <c r="D448" s="10">
        <v>32.0</v>
      </c>
      <c r="E448" s="10">
        <v>122.0</v>
      </c>
      <c r="F448" s="10">
        <v>2022.0</v>
      </c>
      <c r="G448" s="10"/>
    </row>
    <row r="449">
      <c r="A449" s="7">
        <v>44776.0</v>
      </c>
      <c r="B449" s="8" t="s">
        <v>41</v>
      </c>
      <c r="C449" s="9">
        <v>366.0</v>
      </c>
      <c r="D449" s="10">
        <v>32.0</v>
      </c>
      <c r="E449" s="10">
        <v>122.0</v>
      </c>
      <c r="F449" s="10">
        <v>2022.0</v>
      </c>
      <c r="G449" s="10"/>
    </row>
    <row r="450">
      <c r="A450" s="7">
        <v>44776.0</v>
      </c>
      <c r="B450" s="8" t="s">
        <v>36</v>
      </c>
      <c r="C450" s="11">
        <v>1319.0</v>
      </c>
      <c r="D450" s="10">
        <v>32.0</v>
      </c>
      <c r="E450" s="10">
        <v>122.0</v>
      </c>
      <c r="F450" s="10">
        <v>2022.0</v>
      </c>
      <c r="G450" s="10"/>
    </row>
    <row r="451">
      <c r="A451" s="7">
        <v>44776.0</v>
      </c>
      <c r="B451" s="8" t="s">
        <v>37</v>
      </c>
      <c r="C451" s="11">
        <v>1845.0</v>
      </c>
      <c r="D451" s="10">
        <v>32.0</v>
      </c>
      <c r="E451" s="10">
        <v>122.0</v>
      </c>
      <c r="F451" s="10">
        <v>2022.0</v>
      </c>
      <c r="G451" s="10"/>
    </row>
    <row r="452">
      <c r="A452" s="7">
        <v>44776.0</v>
      </c>
      <c r="B452" s="8" t="s">
        <v>44</v>
      </c>
      <c r="C452" s="9">
        <v>42.0</v>
      </c>
      <c r="D452" s="10">
        <v>32.0</v>
      </c>
      <c r="E452" s="10">
        <v>122.0</v>
      </c>
      <c r="F452" s="10">
        <v>2022.0</v>
      </c>
      <c r="G452" s="10"/>
    </row>
    <row r="453">
      <c r="A453" s="7">
        <v>44776.0</v>
      </c>
      <c r="B453" s="8" t="s">
        <v>38</v>
      </c>
      <c r="C453" s="9">
        <v>401.0</v>
      </c>
      <c r="D453" s="10">
        <v>32.0</v>
      </c>
      <c r="E453" s="10">
        <v>122.0</v>
      </c>
      <c r="F453" s="10">
        <v>2022.0</v>
      </c>
      <c r="G453" s="10"/>
    </row>
    <row r="454">
      <c r="A454" s="7">
        <v>44776.0</v>
      </c>
      <c r="B454" s="8" t="s">
        <v>42</v>
      </c>
      <c r="C454" s="9">
        <v>373.0</v>
      </c>
      <c r="D454" s="10">
        <v>32.0</v>
      </c>
      <c r="E454" s="10">
        <v>122.0</v>
      </c>
      <c r="F454" s="10">
        <v>2022.0</v>
      </c>
      <c r="G454" s="10"/>
    </row>
    <row r="455">
      <c r="A455" s="7">
        <v>44776.0</v>
      </c>
      <c r="B455" s="8" t="s">
        <v>40</v>
      </c>
      <c r="C455" s="9">
        <v>18.0</v>
      </c>
      <c r="D455" s="10">
        <v>32.0</v>
      </c>
      <c r="E455" s="10">
        <v>122.0</v>
      </c>
      <c r="F455" s="10">
        <v>2022.0</v>
      </c>
      <c r="G455" s="10"/>
    </row>
    <row r="456">
      <c r="A456" s="7">
        <v>44776.0</v>
      </c>
      <c r="B456" s="8" t="s">
        <v>43</v>
      </c>
      <c r="C456" s="9">
        <v>102.0</v>
      </c>
      <c r="D456" s="10">
        <v>32.0</v>
      </c>
      <c r="E456" s="10">
        <v>122.0</v>
      </c>
      <c r="F456" s="10">
        <v>2022.0</v>
      </c>
      <c r="G456" s="10"/>
    </row>
    <row r="457">
      <c r="A457" s="7">
        <v>44783.0</v>
      </c>
      <c r="B457" s="8" t="s">
        <v>35</v>
      </c>
      <c r="C457" s="11">
        <v>1697.0</v>
      </c>
      <c r="D457" s="10">
        <v>33.0</v>
      </c>
      <c r="E457" s="10">
        <v>123.0</v>
      </c>
      <c r="F457" s="10">
        <v>2022.0</v>
      </c>
      <c r="G457" s="10"/>
    </row>
    <row r="458">
      <c r="A458" s="7">
        <v>44783.0</v>
      </c>
      <c r="B458" s="8" t="s">
        <v>41</v>
      </c>
      <c r="C458" s="9">
        <v>72.0</v>
      </c>
      <c r="D458" s="10">
        <v>33.0</v>
      </c>
      <c r="E458" s="10">
        <v>123.0</v>
      </c>
      <c r="F458" s="10">
        <v>2022.0</v>
      </c>
      <c r="G458" s="10"/>
    </row>
    <row r="459">
      <c r="A459" s="7">
        <v>44783.0</v>
      </c>
      <c r="B459" s="8" t="s">
        <v>36</v>
      </c>
      <c r="C459" s="11">
        <v>1616.0</v>
      </c>
      <c r="D459" s="10">
        <v>33.0</v>
      </c>
      <c r="E459" s="10">
        <v>123.0</v>
      </c>
      <c r="F459" s="10">
        <v>2022.0</v>
      </c>
      <c r="G459" s="10"/>
    </row>
    <row r="460">
      <c r="A460" s="7">
        <v>44783.0</v>
      </c>
      <c r="B460" s="8" t="s">
        <v>37</v>
      </c>
      <c r="C460" s="11">
        <v>1637.0</v>
      </c>
      <c r="D460" s="10">
        <v>33.0</v>
      </c>
      <c r="E460" s="10">
        <v>123.0</v>
      </c>
      <c r="F460" s="10">
        <v>2022.0</v>
      </c>
      <c r="G460" s="10"/>
    </row>
    <row r="461">
      <c r="A461" s="7">
        <v>44783.0</v>
      </c>
      <c r="B461" s="8" t="s">
        <v>34</v>
      </c>
      <c r="C461" s="9">
        <v>375.0</v>
      </c>
      <c r="D461" s="10">
        <v>33.0</v>
      </c>
      <c r="E461" s="10">
        <v>123.0</v>
      </c>
      <c r="F461" s="10">
        <v>2022.0</v>
      </c>
      <c r="G461" s="10"/>
    </row>
    <row r="462">
      <c r="A462" s="7">
        <v>44783.0</v>
      </c>
      <c r="B462" s="8" t="s">
        <v>44</v>
      </c>
      <c r="C462" s="9">
        <v>175.0</v>
      </c>
      <c r="D462" s="10">
        <v>33.0</v>
      </c>
      <c r="E462" s="10">
        <v>123.0</v>
      </c>
      <c r="F462" s="10">
        <v>2022.0</v>
      </c>
      <c r="G462" s="10"/>
    </row>
    <row r="463">
      <c r="A463" s="7">
        <v>44783.0</v>
      </c>
      <c r="B463" s="8" t="s">
        <v>38</v>
      </c>
      <c r="C463" s="9">
        <v>475.0</v>
      </c>
      <c r="D463" s="10">
        <v>33.0</v>
      </c>
      <c r="E463" s="10">
        <v>123.0</v>
      </c>
      <c r="F463" s="10">
        <v>2022.0</v>
      </c>
      <c r="G463" s="10"/>
    </row>
    <row r="464">
      <c r="A464" s="7">
        <v>44783.0</v>
      </c>
      <c r="B464" s="8" t="s">
        <v>42</v>
      </c>
      <c r="C464" s="9">
        <v>300.0</v>
      </c>
      <c r="D464" s="10">
        <v>33.0</v>
      </c>
      <c r="E464" s="10">
        <v>123.0</v>
      </c>
      <c r="F464" s="10">
        <v>2022.0</v>
      </c>
      <c r="G464" s="10"/>
    </row>
    <row r="465">
      <c r="A465" s="7">
        <v>44783.0</v>
      </c>
      <c r="B465" s="8" t="s">
        <v>46</v>
      </c>
      <c r="C465" s="9">
        <v>74.0</v>
      </c>
      <c r="D465" s="10">
        <v>33.0</v>
      </c>
      <c r="E465" s="10">
        <v>123.0</v>
      </c>
      <c r="F465" s="10">
        <v>2022.0</v>
      </c>
      <c r="G465" s="10"/>
    </row>
    <row r="466">
      <c r="A466" s="7">
        <v>44783.0</v>
      </c>
      <c r="B466" s="8" t="s">
        <v>40</v>
      </c>
      <c r="C466" s="9">
        <v>84.0</v>
      </c>
      <c r="D466" s="10">
        <v>33.0</v>
      </c>
      <c r="E466" s="10">
        <v>123.0</v>
      </c>
      <c r="F466" s="10">
        <v>2022.0</v>
      </c>
      <c r="G466" s="10"/>
    </row>
    <row r="467">
      <c r="A467" s="7">
        <v>44783.0</v>
      </c>
      <c r="B467" s="8" t="s">
        <v>43</v>
      </c>
      <c r="C467" s="9">
        <v>135.0</v>
      </c>
      <c r="D467" s="10">
        <v>33.0</v>
      </c>
      <c r="E467" s="10">
        <v>123.0</v>
      </c>
      <c r="F467" s="10">
        <v>2022.0</v>
      </c>
      <c r="G467" s="10"/>
    </row>
    <row r="468">
      <c r="A468" s="7">
        <v>44790.0</v>
      </c>
      <c r="B468" s="8" t="s">
        <v>35</v>
      </c>
      <c r="C468" s="11">
        <v>1339.0</v>
      </c>
      <c r="D468" s="10">
        <v>34.0</v>
      </c>
      <c r="E468" s="10">
        <v>124.0</v>
      </c>
      <c r="F468" s="10">
        <v>2022.0</v>
      </c>
      <c r="G468" s="10"/>
    </row>
    <row r="469">
      <c r="A469" s="7">
        <v>44790.0</v>
      </c>
      <c r="B469" s="8" t="s">
        <v>41</v>
      </c>
      <c r="C469" s="9">
        <v>79.0</v>
      </c>
      <c r="D469" s="10">
        <v>34.0</v>
      </c>
      <c r="E469" s="10">
        <v>124.0</v>
      </c>
      <c r="F469" s="10">
        <v>2022.0</v>
      </c>
      <c r="G469" s="10"/>
    </row>
    <row r="470">
      <c r="A470" s="7">
        <v>44790.0</v>
      </c>
      <c r="B470" s="8" t="s">
        <v>36</v>
      </c>
      <c r="C470" s="11">
        <v>1818.0</v>
      </c>
      <c r="D470" s="10">
        <v>34.0</v>
      </c>
      <c r="E470" s="10">
        <v>124.0</v>
      </c>
      <c r="F470" s="10">
        <v>2022.0</v>
      </c>
      <c r="G470" s="10"/>
    </row>
    <row r="471">
      <c r="A471" s="7">
        <v>44790.0</v>
      </c>
      <c r="B471" s="8" t="s">
        <v>37</v>
      </c>
      <c r="C471" s="11">
        <v>1132.0</v>
      </c>
      <c r="D471" s="10">
        <v>34.0</v>
      </c>
      <c r="E471" s="10">
        <v>124.0</v>
      </c>
      <c r="F471" s="10">
        <v>2022.0</v>
      </c>
      <c r="G471" s="10"/>
    </row>
    <row r="472">
      <c r="A472" s="7">
        <v>44790.0</v>
      </c>
      <c r="B472" s="8" t="s">
        <v>34</v>
      </c>
      <c r="C472" s="11">
        <v>1391.0</v>
      </c>
      <c r="D472" s="10">
        <v>34.0</v>
      </c>
      <c r="E472" s="10">
        <v>124.0</v>
      </c>
      <c r="F472" s="10">
        <v>2022.0</v>
      </c>
      <c r="G472" s="10"/>
    </row>
    <row r="473">
      <c r="A473" s="7">
        <v>44790.0</v>
      </c>
      <c r="B473" s="8" t="s">
        <v>38</v>
      </c>
      <c r="C473" s="9">
        <v>199.0</v>
      </c>
      <c r="D473" s="10">
        <v>34.0</v>
      </c>
      <c r="E473" s="10">
        <v>124.0</v>
      </c>
      <c r="F473" s="10">
        <v>2022.0</v>
      </c>
      <c r="G473" s="10"/>
    </row>
    <row r="474">
      <c r="A474" s="7">
        <v>44790.0</v>
      </c>
      <c r="B474" s="8" t="s">
        <v>42</v>
      </c>
      <c r="C474" s="9">
        <v>222.0</v>
      </c>
      <c r="D474" s="10">
        <v>34.0</v>
      </c>
      <c r="E474" s="10">
        <v>124.0</v>
      </c>
      <c r="F474" s="10">
        <v>2022.0</v>
      </c>
      <c r="G474" s="10"/>
    </row>
    <row r="475">
      <c r="A475" s="7">
        <v>44790.0</v>
      </c>
      <c r="B475" s="8" t="s">
        <v>46</v>
      </c>
      <c r="C475" s="9">
        <v>60.0</v>
      </c>
      <c r="D475" s="10">
        <v>34.0</v>
      </c>
      <c r="E475" s="10">
        <v>124.0</v>
      </c>
      <c r="F475" s="10">
        <v>2022.0</v>
      </c>
      <c r="G475" s="10"/>
    </row>
    <row r="476">
      <c r="A476" s="7">
        <v>44790.0</v>
      </c>
      <c r="B476" s="8" t="s">
        <v>40</v>
      </c>
      <c r="C476" s="9">
        <v>265.0</v>
      </c>
      <c r="D476" s="10">
        <v>34.0</v>
      </c>
      <c r="E476" s="10">
        <v>124.0</v>
      </c>
      <c r="F476" s="10">
        <v>2022.0</v>
      </c>
      <c r="G476" s="10"/>
    </row>
    <row r="477">
      <c r="A477" s="7">
        <v>44790.0</v>
      </c>
      <c r="B477" s="8" t="s">
        <v>43</v>
      </c>
      <c r="C477" s="9">
        <v>175.0</v>
      </c>
      <c r="D477" s="10">
        <v>34.0</v>
      </c>
      <c r="E477" s="10">
        <v>124.0</v>
      </c>
      <c r="F477" s="10">
        <v>2022.0</v>
      </c>
      <c r="G477" s="10"/>
    </row>
    <row r="478">
      <c r="A478" s="7">
        <v>44797.0</v>
      </c>
      <c r="B478" s="8" t="s">
        <v>34</v>
      </c>
      <c r="C478" s="11">
        <v>5986.0</v>
      </c>
      <c r="D478" s="10">
        <v>35.0</v>
      </c>
      <c r="E478" s="10">
        <v>125.0</v>
      </c>
      <c r="F478" s="10">
        <v>2022.0</v>
      </c>
      <c r="G478" s="10"/>
    </row>
    <row r="479">
      <c r="A479" s="7">
        <v>44804.0</v>
      </c>
      <c r="B479" s="8" t="s">
        <v>35</v>
      </c>
      <c r="C479" s="11">
        <v>1310.0</v>
      </c>
      <c r="D479" s="10">
        <v>36.0</v>
      </c>
      <c r="E479" s="10">
        <v>126.0</v>
      </c>
      <c r="F479" s="10">
        <v>2022.0</v>
      </c>
      <c r="G479" s="10"/>
    </row>
    <row r="480">
      <c r="A480" s="7">
        <v>44804.0</v>
      </c>
      <c r="B480" s="8" t="s">
        <v>41</v>
      </c>
      <c r="C480" s="9">
        <v>147.0</v>
      </c>
      <c r="D480" s="10">
        <v>36.0</v>
      </c>
      <c r="E480" s="10">
        <v>126.0</v>
      </c>
      <c r="F480" s="10">
        <v>2022.0</v>
      </c>
      <c r="G480" s="10"/>
    </row>
    <row r="481">
      <c r="A481" s="7">
        <v>44804.0</v>
      </c>
      <c r="B481" s="8" t="s">
        <v>36</v>
      </c>
      <c r="C481" s="11">
        <v>1819.0</v>
      </c>
      <c r="D481" s="10">
        <v>36.0</v>
      </c>
      <c r="E481" s="10">
        <v>126.0</v>
      </c>
      <c r="F481" s="10">
        <v>2022.0</v>
      </c>
      <c r="G481" s="10"/>
    </row>
    <row r="482">
      <c r="A482" s="7">
        <v>44804.0</v>
      </c>
      <c r="B482" s="8" t="s">
        <v>37</v>
      </c>
      <c r="C482" s="11">
        <v>1321.0</v>
      </c>
      <c r="D482" s="10">
        <v>36.0</v>
      </c>
      <c r="E482" s="10">
        <v>126.0</v>
      </c>
      <c r="F482" s="10">
        <v>2022.0</v>
      </c>
      <c r="G482" s="10"/>
    </row>
    <row r="483">
      <c r="A483" s="7">
        <v>44804.0</v>
      </c>
      <c r="B483" s="8" t="s">
        <v>34</v>
      </c>
      <c r="C483" s="9">
        <v>350.0</v>
      </c>
      <c r="D483" s="10">
        <v>36.0</v>
      </c>
      <c r="E483" s="10">
        <v>126.0</v>
      </c>
      <c r="F483" s="10">
        <v>2022.0</v>
      </c>
      <c r="G483" s="10"/>
    </row>
    <row r="484">
      <c r="A484" s="7">
        <v>44804.0</v>
      </c>
      <c r="B484" s="8" t="s">
        <v>44</v>
      </c>
      <c r="C484" s="9">
        <v>106.0</v>
      </c>
      <c r="D484" s="10">
        <v>36.0</v>
      </c>
      <c r="E484" s="10">
        <v>126.0</v>
      </c>
      <c r="F484" s="10">
        <v>2022.0</v>
      </c>
      <c r="G484" s="10"/>
    </row>
    <row r="485">
      <c r="A485" s="7">
        <v>44804.0</v>
      </c>
      <c r="B485" s="8" t="s">
        <v>38</v>
      </c>
      <c r="C485" s="9">
        <v>224.0</v>
      </c>
      <c r="D485" s="10">
        <v>36.0</v>
      </c>
      <c r="E485" s="10">
        <v>126.0</v>
      </c>
      <c r="F485" s="10">
        <v>2022.0</v>
      </c>
      <c r="G485" s="10"/>
    </row>
    <row r="486">
      <c r="A486" s="7">
        <v>44804.0</v>
      </c>
      <c r="B486" s="8" t="s">
        <v>46</v>
      </c>
      <c r="C486" s="9">
        <v>230.0</v>
      </c>
      <c r="D486" s="10">
        <v>36.0</v>
      </c>
      <c r="E486" s="10">
        <v>126.0</v>
      </c>
      <c r="F486" s="10">
        <v>2022.0</v>
      </c>
      <c r="G486" s="10"/>
    </row>
    <row r="487">
      <c r="A487" s="7">
        <v>44804.0</v>
      </c>
      <c r="B487" s="8" t="s">
        <v>47</v>
      </c>
      <c r="C487" s="9">
        <v>268.0</v>
      </c>
      <c r="D487" s="10">
        <v>36.0</v>
      </c>
      <c r="E487" s="10">
        <v>126.0</v>
      </c>
      <c r="F487" s="10">
        <v>2022.0</v>
      </c>
      <c r="G487" s="10"/>
    </row>
    <row r="488">
      <c r="A488" s="7">
        <v>44804.0</v>
      </c>
      <c r="B488" s="8" t="s">
        <v>40</v>
      </c>
      <c r="C488" s="9">
        <v>32.0</v>
      </c>
      <c r="D488" s="10">
        <v>36.0</v>
      </c>
      <c r="E488" s="10">
        <v>126.0</v>
      </c>
      <c r="F488" s="10">
        <v>2022.0</v>
      </c>
      <c r="G488" s="10"/>
    </row>
    <row r="489">
      <c r="A489" s="7">
        <v>44804.0</v>
      </c>
      <c r="B489" s="8" t="s">
        <v>43</v>
      </c>
      <c r="C489" s="9">
        <v>220.0</v>
      </c>
      <c r="D489" s="10">
        <v>36.0</v>
      </c>
      <c r="E489" s="10">
        <v>126.0</v>
      </c>
      <c r="F489" s="10">
        <v>2022.0</v>
      </c>
      <c r="G489" s="10"/>
    </row>
    <row r="490">
      <c r="A490" s="7">
        <v>44811.0</v>
      </c>
      <c r="B490" s="8" t="s">
        <v>35</v>
      </c>
      <c r="C490" s="11">
        <v>2611.0</v>
      </c>
      <c r="D490" s="10">
        <v>37.0</v>
      </c>
      <c r="E490" s="10">
        <v>127.0</v>
      </c>
      <c r="F490" s="10">
        <v>2022.0</v>
      </c>
      <c r="G490" s="10"/>
    </row>
    <row r="491">
      <c r="A491" s="7">
        <v>44811.0</v>
      </c>
      <c r="B491" s="8" t="s">
        <v>41</v>
      </c>
      <c r="C491" s="9">
        <v>190.0</v>
      </c>
      <c r="D491" s="10">
        <v>37.0</v>
      </c>
      <c r="E491" s="10">
        <v>127.0</v>
      </c>
      <c r="F491" s="10">
        <v>2022.0</v>
      </c>
      <c r="G491" s="10"/>
    </row>
    <row r="492">
      <c r="A492" s="7">
        <v>44811.0</v>
      </c>
      <c r="B492" s="8" t="s">
        <v>36</v>
      </c>
      <c r="C492" s="11">
        <v>1458.0</v>
      </c>
      <c r="D492" s="10">
        <v>37.0</v>
      </c>
      <c r="E492" s="10">
        <v>127.0</v>
      </c>
      <c r="F492" s="10">
        <v>2022.0</v>
      </c>
      <c r="G492" s="10"/>
    </row>
    <row r="493">
      <c r="A493" s="7">
        <v>44811.0</v>
      </c>
      <c r="B493" s="8" t="s">
        <v>37</v>
      </c>
      <c r="C493" s="11">
        <v>1118.0</v>
      </c>
      <c r="D493" s="10">
        <v>37.0</v>
      </c>
      <c r="E493" s="10">
        <v>127.0</v>
      </c>
      <c r="F493" s="10">
        <v>2022.0</v>
      </c>
      <c r="G493" s="10"/>
    </row>
    <row r="494">
      <c r="A494" s="7">
        <v>44811.0</v>
      </c>
      <c r="B494" s="8" t="s">
        <v>34</v>
      </c>
      <c r="C494" s="11">
        <v>1700.0</v>
      </c>
      <c r="D494" s="10">
        <v>37.0</v>
      </c>
      <c r="E494" s="10">
        <v>127.0</v>
      </c>
      <c r="F494" s="10">
        <v>2022.0</v>
      </c>
      <c r="G494" s="10"/>
    </row>
    <row r="495">
      <c r="A495" s="7">
        <v>44811.0</v>
      </c>
      <c r="B495" s="8" t="s">
        <v>44</v>
      </c>
      <c r="C495" s="9">
        <v>106.0</v>
      </c>
      <c r="D495" s="10">
        <v>37.0</v>
      </c>
      <c r="E495" s="10">
        <v>127.0</v>
      </c>
      <c r="F495" s="10">
        <v>2022.0</v>
      </c>
      <c r="G495" s="10"/>
    </row>
    <row r="496">
      <c r="A496" s="7">
        <v>44811.0</v>
      </c>
      <c r="B496" s="8" t="s">
        <v>38</v>
      </c>
      <c r="C496" s="9">
        <v>226.0</v>
      </c>
      <c r="D496" s="10">
        <v>37.0</v>
      </c>
      <c r="E496" s="10">
        <v>127.0</v>
      </c>
      <c r="F496" s="10">
        <v>2022.0</v>
      </c>
      <c r="G496" s="10"/>
    </row>
    <row r="497">
      <c r="A497" s="7">
        <v>44811.0</v>
      </c>
      <c r="B497" s="8" t="s">
        <v>42</v>
      </c>
      <c r="C497" s="9">
        <v>115.0</v>
      </c>
      <c r="D497" s="10">
        <v>37.0</v>
      </c>
      <c r="E497" s="10">
        <v>127.0</v>
      </c>
      <c r="F497" s="10">
        <v>2022.0</v>
      </c>
      <c r="G497" s="10"/>
    </row>
    <row r="498">
      <c r="A498" s="7">
        <v>44811.0</v>
      </c>
      <c r="B498" s="8" t="s">
        <v>46</v>
      </c>
      <c r="C498" s="9">
        <v>248.0</v>
      </c>
      <c r="D498" s="10">
        <v>37.0</v>
      </c>
      <c r="E498" s="10">
        <v>127.0</v>
      </c>
      <c r="F498" s="10">
        <v>2022.0</v>
      </c>
      <c r="G498" s="10"/>
    </row>
    <row r="499">
      <c r="A499" s="7">
        <v>44811.0</v>
      </c>
      <c r="B499" s="8" t="s">
        <v>47</v>
      </c>
      <c r="C499" s="9">
        <v>146.0</v>
      </c>
      <c r="D499" s="10">
        <v>37.0</v>
      </c>
      <c r="E499" s="10">
        <v>127.0</v>
      </c>
      <c r="F499" s="10">
        <v>2022.0</v>
      </c>
      <c r="G499" s="10"/>
    </row>
    <row r="500">
      <c r="A500" s="7">
        <v>44811.0</v>
      </c>
      <c r="B500" s="8" t="s">
        <v>45</v>
      </c>
      <c r="C500" s="9">
        <v>150.0</v>
      </c>
      <c r="D500" s="10">
        <v>37.0</v>
      </c>
      <c r="E500" s="10">
        <v>127.0</v>
      </c>
      <c r="F500" s="10">
        <v>2022.0</v>
      </c>
      <c r="G500" s="10"/>
    </row>
    <row r="501">
      <c r="A501" s="7">
        <v>44811.0</v>
      </c>
      <c r="B501" s="8" t="s">
        <v>40</v>
      </c>
      <c r="C501" s="9">
        <v>30.0</v>
      </c>
      <c r="D501" s="10">
        <v>37.0</v>
      </c>
      <c r="E501" s="10">
        <v>127.0</v>
      </c>
      <c r="F501" s="10">
        <v>2022.0</v>
      </c>
      <c r="G501" s="10"/>
    </row>
    <row r="502">
      <c r="A502" s="7">
        <v>44811.0</v>
      </c>
      <c r="B502" s="8" t="s">
        <v>43</v>
      </c>
      <c r="C502" s="9">
        <v>150.0</v>
      </c>
      <c r="D502" s="10">
        <v>37.0</v>
      </c>
      <c r="E502" s="10">
        <v>127.0</v>
      </c>
      <c r="F502" s="10">
        <v>2022.0</v>
      </c>
      <c r="G502" s="10"/>
    </row>
    <row r="503">
      <c r="A503" s="7">
        <v>44818.0</v>
      </c>
      <c r="B503" s="8" t="s">
        <v>35</v>
      </c>
      <c r="C503" s="11">
        <v>1043.0</v>
      </c>
      <c r="D503" s="10">
        <v>38.0</v>
      </c>
      <c r="E503" s="10">
        <v>128.0</v>
      </c>
      <c r="F503" s="10">
        <v>2022.0</v>
      </c>
      <c r="G503" s="10"/>
    </row>
    <row r="504">
      <c r="A504" s="7">
        <v>44818.0</v>
      </c>
      <c r="B504" s="8" t="s">
        <v>41</v>
      </c>
      <c r="C504" s="9">
        <v>54.0</v>
      </c>
      <c r="D504" s="10">
        <v>38.0</v>
      </c>
      <c r="E504" s="10">
        <v>128.0</v>
      </c>
      <c r="F504" s="10">
        <v>2022.0</v>
      </c>
      <c r="G504" s="10"/>
    </row>
    <row r="505">
      <c r="A505" s="7">
        <v>44818.0</v>
      </c>
      <c r="B505" s="8" t="s">
        <v>36</v>
      </c>
      <c r="C505" s="11">
        <v>1981.0</v>
      </c>
      <c r="D505" s="10">
        <v>38.0</v>
      </c>
      <c r="E505" s="10">
        <v>128.0</v>
      </c>
      <c r="F505" s="10">
        <v>2022.0</v>
      </c>
      <c r="G505" s="10"/>
    </row>
    <row r="506">
      <c r="A506" s="7">
        <v>44818.0</v>
      </c>
      <c r="B506" s="8" t="s">
        <v>37</v>
      </c>
      <c r="C506" s="11">
        <v>1235.0</v>
      </c>
      <c r="D506" s="10">
        <v>38.0</v>
      </c>
      <c r="E506" s="10">
        <v>128.0</v>
      </c>
      <c r="F506" s="10">
        <v>2022.0</v>
      </c>
      <c r="G506" s="10"/>
    </row>
    <row r="507">
      <c r="A507" s="7">
        <v>44818.0</v>
      </c>
      <c r="B507" s="8" t="s">
        <v>34</v>
      </c>
      <c r="C507" s="11">
        <v>2138.0</v>
      </c>
      <c r="D507" s="10">
        <v>38.0</v>
      </c>
      <c r="E507" s="10">
        <v>128.0</v>
      </c>
      <c r="F507" s="10">
        <v>2022.0</v>
      </c>
      <c r="G507" s="10"/>
    </row>
    <row r="508">
      <c r="A508" s="7">
        <v>44818.0</v>
      </c>
      <c r="B508" s="8" t="s">
        <v>44</v>
      </c>
      <c r="C508" s="9">
        <v>75.0</v>
      </c>
      <c r="D508" s="10">
        <v>38.0</v>
      </c>
      <c r="E508" s="10">
        <v>128.0</v>
      </c>
      <c r="F508" s="10">
        <v>2022.0</v>
      </c>
      <c r="G508" s="10"/>
    </row>
    <row r="509">
      <c r="A509" s="7">
        <v>44818.0</v>
      </c>
      <c r="B509" s="8" t="s">
        <v>38</v>
      </c>
      <c r="C509" s="9">
        <v>307.0</v>
      </c>
      <c r="D509" s="10">
        <v>38.0</v>
      </c>
      <c r="E509" s="10">
        <v>128.0</v>
      </c>
      <c r="F509" s="10">
        <v>2022.0</v>
      </c>
      <c r="G509" s="10"/>
    </row>
    <row r="510">
      <c r="A510" s="7">
        <v>44818.0</v>
      </c>
      <c r="B510" s="8" t="s">
        <v>42</v>
      </c>
      <c r="C510" s="9">
        <v>125.0</v>
      </c>
      <c r="D510" s="10">
        <v>38.0</v>
      </c>
      <c r="E510" s="10">
        <v>128.0</v>
      </c>
      <c r="F510" s="10">
        <v>2022.0</v>
      </c>
      <c r="G510" s="10"/>
    </row>
    <row r="511">
      <c r="A511" s="7">
        <v>44818.0</v>
      </c>
      <c r="B511" s="8" t="s">
        <v>46</v>
      </c>
      <c r="C511" s="9">
        <v>160.0</v>
      </c>
      <c r="D511" s="10">
        <v>38.0</v>
      </c>
      <c r="E511" s="10">
        <v>128.0</v>
      </c>
      <c r="F511" s="10">
        <v>2022.0</v>
      </c>
      <c r="G511" s="10"/>
    </row>
    <row r="512">
      <c r="A512" s="7">
        <v>44818.0</v>
      </c>
      <c r="B512" s="8" t="s">
        <v>47</v>
      </c>
      <c r="C512" s="9">
        <v>30.0</v>
      </c>
      <c r="D512" s="10">
        <v>38.0</v>
      </c>
      <c r="E512" s="10">
        <v>128.0</v>
      </c>
      <c r="F512" s="10">
        <v>2022.0</v>
      </c>
      <c r="G512" s="10"/>
    </row>
    <row r="513">
      <c r="A513" s="7">
        <v>44818.0</v>
      </c>
      <c r="B513" s="8" t="s">
        <v>39</v>
      </c>
      <c r="C513" s="9">
        <v>110.0</v>
      </c>
      <c r="D513" s="10">
        <v>38.0</v>
      </c>
      <c r="E513" s="10">
        <v>128.0</v>
      </c>
      <c r="F513" s="10">
        <v>2022.0</v>
      </c>
      <c r="G513" s="10"/>
    </row>
    <row r="514">
      <c r="A514" s="7">
        <v>44818.0</v>
      </c>
      <c r="B514" s="8" t="s">
        <v>40</v>
      </c>
      <c r="C514" s="9">
        <v>123.0</v>
      </c>
      <c r="D514" s="10">
        <v>38.0</v>
      </c>
      <c r="E514" s="10">
        <v>128.0</v>
      </c>
      <c r="F514" s="10">
        <v>2022.0</v>
      </c>
      <c r="G514" s="10"/>
    </row>
    <row r="515">
      <c r="A515" s="7">
        <v>44818.0</v>
      </c>
      <c r="B515" s="8" t="s">
        <v>43</v>
      </c>
      <c r="C515" s="9">
        <v>190.0</v>
      </c>
      <c r="D515" s="10">
        <v>38.0</v>
      </c>
      <c r="E515" s="10">
        <v>128.0</v>
      </c>
      <c r="F515" s="10">
        <v>2022.0</v>
      </c>
      <c r="G515" s="10"/>
    </row>
    <row r="516">
      <c r="A516" s="7">
        <v>44825.0</v>
      </c>
      <c r="B516" s="8" t="s">
        <v>35</v>
      </c>
      <c r="C516" s="11">
        <v>2590.0</v>
      </c>
      <c r="D516" s="10">
        <v>39.0</v>
      </c>
      <c r="E516" s="10">
        <v>129.0</v>
      </c>
      <c r="F516" s="10">
        <v>2022.0</v>
      </c>
      <c r="G516" s="10"/>
    </row>
    <row r="517">
      <c r="A517" s="7">
        <v>44825.0</v>
      </c>
      <c r="B517" s="8" t="s">
        <v>41</v>
      </c>
      <c r="C517" s="9">
        <v>30.0</v>
      </c>
      <c r="D517" s="10">
        <v>39.0</v>
      </c>
      <c r="E517" s="10">
        <v>129.0</v>
      </c>
      <c r="F517" s="10">
        <v>2022.0</v>
      </c>
      <c r="G517" s="10"/>
    </row>
    <row r="518">
      <c r="A518" s="7">
        <v>44825.0</v>
      </c>
      <c r="B518" s="8" t="s">
        <v>36</v>
      </c>
      <c r="C518" s="9">
        <v>831.0</v>
      </c>
      <c r="D518" s="10">
        <v>39.0</v>
      </c>
      <c r="E518" s="10">
        <v>129.0</v>
      </c>
      <c r="F518" s="10">
        <v>2022.0</v>
      </c>
      <c r="G518" s="10"/>
    </row>
    <row r="519">
      <c r="A519" s="7">
        <v>44825.0</v>
      </c>
      <c r="B519" s="8" t="s">
        <v>37</v>
      </c>
      <c r="C519" s="11">
        <v>1559.0</v>
      </c>
      <c r="D519" s="10">
        <v>39.0</v>
      </c>
      <c r="E519" s="10">
        <v>129.0</v>
      </c>
      <c r="F519" s="10">
        <v>2022.0</v>
      </c>
      <c r="G519" s="10"/>
    </row>
    <row r="520">
      <c r="A520" s="7">
        <v>44825.0</v>
      </c>
      <c r="B520" s="8" t="s">
        <v>34</v>
      </c>
      <c r="C520" s="11">
        <v>1500.0</v>
      </c>
      <c r="D520" s="10">
        <v>39.0</v>
      </c>
      <c r="E520" s="10">
        <v>129.0</v>
      </c>
      <c r="F520" s="10">
        <v>2022.0</v>
      </c>
      <c r="G520" s="10"/>
    </row>
    <row r="521">
      <c r="A521" s="7">
        <v>44825.0</v>
      </c>
      <c r="B521" s="8" t="s">
        <v>44</v>
      </c>
      <c r="C521" s="9">
        <v>118.0</v>
      </c>
      <c r="D521" s="10">
        <v>39.0</v>
      </c>
      <c r="E521" s="10">
        <v>129.0</v>
      </c>
      <c r="F521" s="10">
        <v>2022.0</v>
      </c>
      <c r="G521" s="10"/>
    </row>
    <row r="522">
      <c r="A522" s="7">
        <v>44825.0</v>
      </c>
      <c r="B522" s="8" t="s">
        <v>38</v>
      </c>
      <c r="C522" s="9">
        <v>453.0</v>
      </c>
      <c r="D522" s="10">
        <v>39.0</v>
      </c>
      <c r="E522" s="10">
        <v>129.0</v>
      </c>
      <c r="F522" s="10">
        <v>2022.0</v>
      </c>
      <c r="G522" s="10"/>
    </row>
    <row r="523">
      <c r="A523" s="7">
        <v>44825.0</v>
      </c>
      <c r="B523" s="8" t="s">
        <v>42</v>
      </c>
      <c r="C523" s="9">
        <v>217.0</v>
      </c>
      <c r="D523" s="10">
        <v>39.0</v>
      </c>
      <c r="E523" s="10">
        <v>129.0</v>
      </c>
      <c r="F523" s="10">
        <v>2022.0</v>
      </c>
      <c r="G523" s="10"/>
    </row>
    <row r="524">
      <c r="A524" s="7">
        <v>44825.0</v>
      </c>
      <c r="B524" s="8" t="s">
        <v>48</v>
      </c>
      <c r="C524" s="9">
        <v>178.0</v>
      </c>
      <c r="D524" s="10">
        <v>39.0</v>
      </c>
      <c r="E524" s="10">
        <v>129.0</v>
      </c>
      <c r="F524" s="10">
        <v>2022.0</v>
      </c>
      <c r="G524" s="10"/>
    </row>
    <row r="525">
      <c r="A525" s="7">
        <v>44825.0</v>
      </c>
      <c r="B525" s="8" t="s">
        <v>46</v>
      </c>
      <c r="C525" s="9">
        <v>190.0</v>
      </c>
      <c r="D525" s="10">
        <v>39.0</v>
      </c>
      <c r="E525" s="10">
        <v>129.0</v>
      </c>
      <c r="F525" s="10">
        <v>2022.0</v>
      </c>
      <c r="G525" s="10"/>
    </row>
    <row r="526">
      <c r="A526" s="7">
        <v>44825.0</v>
      </c>
      <c r="B526" s="8" t="s">
        <v>47</v>
      </c>
      <c r="C526" s="9">
        <v>30.0</v>
      </c>
      <c r="D526" s="10">
        <v>39.0</v>
      </c>
      <c r="E526" s="10">
        <v>129.0</v>
      </c>
      <c r="F526" s="10">
        <v>2022.0</v>
      </c>
      <c r="G526" s="10"/>
    </row>
    <row r="527">
      <c r="A527" s="7">
        <v>44825.0</v>
      </c>
      <c r="B527" s="8" t="s">
        <v>39</v>
      </c>
      <c r="C527" s="9">
        <v>120.0</v>
      </c>
      <c r="D527" s="10">
        <v>39.0</v>
      </c>
      <c r="E527" s="10">
        <v>129.0</v>
      </c>
      <c r="F527" s="10">
        <v>2022.0</v>
      </c>
      <c r="G527" s="10"/>
    </row>
    <row r="528">
      <c r="A528" s="7">
        <v>44825.0</v>
      </c>
      <c r="B528" s="8" t="s">
        <v>40</v>
      </c>
      <c r="C528" s="9">
        <v>192.0</v>
      </c>
      <c r="D528" s="10">
        <v>39.0</v>
      </c>
      <c r="E528" s="10">
        <v>129.0</v>
      </c>
      <c r="F528" s="10">
        <v>2022.0</v>
      </c>
      <c r="G528" s="10"/>
    </row>
    <row r="529">
      <c r="A529" s="7">
        <v>44825.0</v>
      </c>
      <c r="B529" s="8" t="s">
        <v>43</v>
      </c>
      <c r="C529" s="9">
        <v>160.0</v>
      </c>
      <c r="D529" s="10">
        <v>39.0</v>
      </c>
      <c r="E529" s="10">
        <v>129.0</v>
      </c>
      <c r="F529" s="10">
        <v>2022.0</v>
      </c>
      <c r="G529" s="10"/>
    </row>
    <row r="530">
      <c r="A530" s="7">
        <v>44832.0</v>
      </c>
      <c r="B530" s="8" t="s">
        <v>35</v>
      </c>
      <c r="C530" s="11">
        <v>1009.0</v>
      </c>
      <c r="D530" s="10">
        <v>40.0</v>
      </c>
      <c r="E530" s="10">
        <v>130.0</v>
      </c>
      <c r="F530" s="10">
        <v>2022.0</v>
      </c>
      <c r="G530" s="10"/>
    </row>
    <row r="531">
      <c r="A531" s="7">
        <v>44832.0</v>
      </c>
      <c r="B531" s="8" t="s">
        <v>41</v>
      </c>
      <c r="C531" s="9">
        <v>334.0</v>
      </c>
      <c r="D531" s="10">
        <v>40.0</v>
      </c>
      <c r="E531" s="10">
        <v>130.0</v>
      </c>
      <c r="F531" s="10">
        <v>2022.0</v>
      </c>
      <c r="G531" s="10"/>
    </row>
    <row r="532">
      <c r="A532" s="7">
        <v>44832.0</v>
      </c>
      <c r="B532" s="8" t="s">
        <v>36</v>
      </c>
      <c r="C532" s="11">
        <v>1373.0</v>
      </c>
      <c r="D532" s="10">
        <v>40.0</v>
      </c>
      <c r="E532" s="10">
        <v>130.0</v>
      </c>
      <c r="F532" s="10">
        <v>2022.0</v>
      </c>
      <c r="G532" s="10"/>
    </row>
    <row r="533">
      <c r="A533" s="7">
        <v>44832.0</v>
      </c>
      <c r="B533" s="8" t="s">
        <v>37</v>
      </c>
      <c r="C533" s="11">
        <v>1009.0</v>
      </c>
      <c r="D533" s="10">
        <v>40.0</v>
      </c>
      <c r="E533" s="10">
        <v>130.0</v>
      </c>
      <c r="F533" s="10">
        <v>2022.0</v>
      </c>
      <c r="G533" s="10"/>
    </row>
    <row r="534">
      <c r="A534" s="7">
        <v>44832.0</v>
      </c>
      <c r="B534" s="8" t="s">
        <v>49</v>
      </c>
      <c r="C534" s="9">
        <v>100.0</v>
      </c>
      <c r="D534" s="10">
        <v>40.0</v>
      </c>
      <c r="E534" s="10">
        <v>130.0</v>
      </c>
      <c r="F534" s="10">
        <v>2022.0</v>
      </c>
      <c r="G534" s="10"/>
    </row>
    <row r="535">
      <c r="A535" s="7">
        <v>44832.0</v>
      </c>
      <c r="B535" s="8" t="s">
        <v>34</v>
      </c>
      <c r="C535" s="11">
        <v>1320.0</v>
      </c>
      <c r="D535" s="10">
        <v>40.0</v>
      </c>
      <c r="E535" s="10">
        <v>130.0</v>
      </c>
      <c r="F535" s="10">
        <v>2022.0</v>
      </c>
      <c r="G535" s="10"/>
    </row>
    <row r="536">
      <c r="A536" s="7">
        <v>44832.0</v>
      </c>
      <c r="B536" s="8" t="s">
        <v>44</v>
      </c>
      <c r="C536" s="9">
        <v>389.0</v>
      </c>
      <c r="D536" s="10">
        <v>40.0</v>
      </c>
      <c r="E536" s="10">
        <v>130.0</v>
      </c>
      <c r="F536" s="10">
        <v>2022.0</v>
      </c>
      <c r="G536" s="10"/>
    </row>
    <row r="537">
      <c r="A537" s="7">
        <v>44832.0</v>
      </c>
      <c r="B537" s="8" t="s">
        <v>38</v>
      </c>
      <c r="C537" s="9">
        <v>374.0</v>
      </c>
      <c r="D537" s="10">
        <v>40.0</v>
      </c>
      <c r="E537" s="10">
        <v>130.0</v>
      </c>
      <c r="F537" s="10">
        <v>2022.0</v>
      </c>
      <c r="G537" s="10"/>
    </row>
    <row r="538">
      <c r="A538" s="7">
        <v>44832.0</v>
      </c>
      <c r="B538" s="8" t="s">
        <v>40</v>
      </c>
      <c r="C538" s="9">
        <v>245.0</v>
      </c>
      <c r="D538" s="10">
        <v>40.0</v>
      </c>
      <c r="E538" s="10">
        <v>130.0</v>
      </c>
      <c r="F538" s="10">
        <v>2022.0</v>
      </c>
      <c r="G538" s="10"/>
    </row>
    <row r="539">
      <c r="A539" s="7">
        <v>44832.0</v>
      </c>
      <c r="B539" s="8" t="s">
        <v>43</v>
      </c>
      <c r="C539" s="9">
        <v>140.0</v>
      </c>
      <c r="D539" s="10">
        <v>40.0</v>
      </c>
      <c r="E539" s="10">
        <v>130.0</v>
      </c>
      <c r="F539" s="10">
        <v>2022.0</v>
      </c>
      <c r="G539" s="10"/>
    </row>
    <row r="540">
      <c r="A540" s="7">
        <v>44839.0</v>
      </c>
      <c r="B540" s="8" t="s">
        <v>35</v>
      </c>
      <c r="C540" s="11">
        <v>1058.0</v>
      </c>
      <c r="D540" s="10">
        <v>41.0</v>
      </c>
      <c r="E540" s="10">
        <v>131.0</v>
      </c>
      <c r="F540" s="10">
        <v>2022.0</v>
      </c>
      <c r="G540" s="10"/>
    </row>
    <row r="541">
      <c r="A541" s="7">
        <v>44839.0</v>
      </c>
      <c r="B541" s="8" t="s">
        <v>41</v>
      </c>
      <c r="C541" s="9">
        <v>394.0</v>
      </c>
      <c r="D541" s="10">
        <v>41.0</v>
      </c>
      <c r="E541" s="10">
        <v>131.0</v>
      </c>
      <c r="F541" s="10">
        <v>2022.0</v>
      </c>
      <c r="G541" s="10"/>
    </row>
    <row r="542">
      <c r="A542" s="7">
        <v>44839.0</v>
      </c>
      <c r="B542" s="8" t="s">
        <v>36</v>
      </c>
      <c r="C542" s="11">
        <v>1417.0</v>
      </c>
      <c r="D542" s="10">
        <v>41.0</v>
      </c>
      <c r="E542" s="10">
        <v>131.0</v>
      </c>
      <c r="F542" s="10">
        <v>2022.0</v>
      </c>
      <c r="G542" s="10"/>
    </row>
    <row r="543">
      <c r="A543" s="7">
        <v>44839.0</v>
      </c>
      <c r="B543" s="8" t="s">
        <v>37</v>
      </c>
      <c r="C543" s="11">
        <v>1215.0</v>
      </c>
      <c r="D543" s="10">
        <v>41.0</v>
      </c>
      <c r="E543" s="10">
        <v>131.0</v>
      </c>
      <c r="F543" s="10">
        <v>2022.0</v>
      </c>
      <c r="G543" s="10"/>
    </row>
    <row r="544">
      <c r="A544" s="7">
        <v>44839.0</v>
      </c>
      <c r="B544" s="8" t="s">
        <v>49</v>
      </c>
      <c r="C544" s="9">
        <v>75.0</v>
      </c>
      <c r="D544" s="10">
        <v>41.0</v>
      </c>
      <c r="E544" s="10">
        <v>131.0</v>
      </c>
      <c r="F544" s="10">
        <v>2022.0</v>
      </c>
      <c r="G544" s="10"/>
    </row>
    <row r="545">
      <c r="A545" s="7">
        <v>44839.0</v>
      </c>
      <c r="B545" s="8" t="s">
        <v>34</v>
      </c>
      <c r="C545" s="11">
        <v>2079.0</v>
      </c>
      <c r="D545" s="10">
        <v>41.0</v>
      </c>
      <c r="E545" s="10">
        <v>131.0</v>
      </c>
      <c r="F545" s="10">
        <v>2022.0</v>
      </c>
      <c r="G545" s="10"/>
    </row>
    <row r="546">
      <c r="A546" s="7">
        <v>44839.0</v>
      </c>
      <c r="B546" s="8" t="s">
        <v>44</v>
      </c>
      <c r="C546" s="9">
        <v>534.0</v>
      </c>
      <c r="D546" s="10">
        <v>41.0</v>
      </c>
      <c r="E546" s="10">
        <v>131.0</v>
      </c>
      <c r="F546" s="10">
        <v>2022.0</v>
      </c>
      <c r="G546" s="10"/>
    </row>
    <row r="547">
      <c r="A547" s="7">
        <v>44839.0</v>
      </c>
      <c r="B547" s="8" t="s">
        <v>38</v>
      </c>
      <c r="C547" s="9">
        <v>226.0</v>
      </c>
      <c r="D547" s="10">
        <v>41.0</v>
      </c>
      <c r="E547" s="10">
        <v>131.0</v>
      </c>
      <c r="F547" s="10">
        <v>2022.0</v>
      </c>
      <c r="G547" s="10"/>
    </row>
    <row r="548">
      <c r="A548" s="7">
        <v>44839.0</v>
      </c>
      <c r="B548" s="8" t="s">
        <v>40</v>
      </c>
      <c r="C548" s="9">
        <v>96.0</v>
      </c>
      <c r="D548" s="10">
        <v>41.0</v>
      </c>
      <c r="E548" s="10">
        <v>131.0</v>
      </c>
      <c r="F548" s="10">
        <v>2022.0</v>
      </c>
      <c r="G548" s="10"/>
    </row>
    <row r="549">
      <c r="A549" s="7">
        <v>44839.0</v>
      </c>
      <c r="B549" s="8" t="s">
        <v>43</v>
      </c>
      <c r="C549" s="9">
        <v>201.0</v>
      </c>
      <c r="D549" s="10">
        <v>41.0</v>
      </c>
      <c r="E549" s="10">
        <v>131.0</v>
      </c>
      <c r="F549" s="10">
        <v>2022.0</v>
      </c>
      <c r="G549" s="10"/>
    </row>
    <row r="550">
      <c r="A550" s="7">
        <v>44846.0</v>
      </c>
      <c r="B550" s="8" t="s">
        <v>35</v>
      </c>
      <c r="C550" s="11">
        <v>1161.0</v>
      </c>
      <c r="D550" s="10">
        <v>42.0</v>
      </c>
      <c r="E550" s="10">
        <v>132.0</v>
      </c>
      <c r="F550" s="10">
        <v>2022.0</v>
      </c>
      <c r="G550" s="10"/>
    </row>
    <row r="551">
      <c r="A551" s="7">
        <v>44846.0</v>
      </c>
      <c r="B551" s="8" t="s">
        <v>41</v>
      </c>
      <c r="C551" s="9">
        <v>136.0</v>
      </c>
      <c r="D551" s="10">
        <v>42.0</v>
      </c>
      <c r="E551" s="10">
        <v>132.0</v>
      </c>
      <c r="F551" s="10">
        <v>2022.0</v>
      </c>
      <c r="G551" s="10"/>
    </row>
    <row r="552">
      <c r="A552" s="7">
        <v>44846.0</v>
      </c>
      <c r="B552" s="8" t="s">
        <v>36</v>
      </c>
      <c r="C552" s="11">
        <v>1579.0</v>
      </c>
      <c r="D552" s="10">
        <v>42.0</v>
      </c>
      <c r="E552" s="10">
        <v>132.0</v>
      </c>
      <c r="F552" s="10">
        <v>2022.0</v>
      </c>
      <c r="G552" s="10"/>
    </row>
    <row r="553">
      <c r="A553" s="7">
        <v>44846.0</v>
      </c>
      <c r="B553" s="8" t="s">
        <v>37</v>
      </c>
      <c r="C553" s="11">
        <v>1078.0</v>
      </c>
      <c r="D553" s="10">
        <v>42.0</v>
      </c>
      <c r="E553" s="10">
        <v>132.0</v>
      </c>
      <c r="F553" s="10">
        <v>2022.0</v>
      </c>
      <c r="G553" s="10"/>
    </row>
    <row r="554">
      <c r="A554" s="7">
        <v>44846.0</v>
      </c>
      <c r="B554" s="8" t="s">
        <v>49</v>
      </c>
      <c r="C554" s="9">
        <v>200.0</v>
      </c>
      <c r="D554" s="10">
        <v>42.0</v>
      </c>
      <c r="E554" s="10">
        <v>132.0</v>
      </c>
      <c r="F554" s="10">
        <v>2022.0</v>
      </c>
      <c r="G554" s="10"/>
    </row>
    <row r="555">
      <c r="A555" s="7">
        <v>44846.0</v>
      </c>
      <c r="B555" s="8" t="s">
        <v>34</v>
      </c>
      <c r="C555" s="9">
        <v>653.0</v>
      </c>
      <c r="D555" s="10">
        <v>42.0</v>
      </c>
      <c r="E555" s="10">
        <v>132.0</v>
      </c>
      <c r="F555" s="10">
        <v>2022.0</v>
      </c>
      <c r="G555" s="10"/>
    </row>
    <row r="556">
      <c r="A556" s="7">
        <v>44846.0</v>
      </c>
      <c r="B556" s="8" t="s">
        <v>44</v>
      </c>
      <c r="C556" s="9">
        <v>360.0</v>
      </c>
      <c r="D556" s="10">
        <v>42.0</v>
      </c>
      <c r="E556" s="10">
        <v>132.0</v>
      </c>
      <c r="F556" s="10">
        <v>2022.0</v>
      </c>
      <c r="G556" s="10"/>
    </row>
    <row r="557">
      <c r="A557" s="7">
        <v>44846.0</v>
      </c>
      <c r="B557" s="8" t="s">
        <v>38</v>
      </c>
      <c r="C557" s="9">
        <v>322.0</v>
      </c>
      <c r="D557" s="10">
        <v>42.0</v>
      </c>
      <c r="E557" s="10">
        <v>132.0</v>
      </c>
      <c r="F557" s="10">
        <v>2022.0</v>
      </c>
      <c r="G557" s="10"/>
    </row>
    <row r="558">
      <c r="A558" s="7">
        <v>44846.0</v>
      </c>
      <c r="B558" s="8" t="s">
        <v>40</v>
      </c>
      <c r="C558" s="9">
        <v>390.0</v>
      </c>
      <c r="D558" s="10">
        <v>42.0</v>
      </c>
      <c r="E558" s="10">
        <v>132.0</v>
      </c>
      <c r="F558" s="10">
        <v>2022.0</v>
      </c>
      <c r="G558" s="10"/>
    </row>
    <row r="559">
      <c r="A559" s="7">
        <v>44846.0</v>
      </c>
      <c r="B559" s="8" t="s">
        <v>43</v>
      </c>
      <c r="C559" s="9">
        <v>158.0</v>
      </c>
      <c r="D559" s="10">
        <v>42.0</v>
      </c>
      <c r="E559" s="10">
        <v>132.0</v>
      </c>
      <c r="F559" s="10">
        <v>2022.0</v>
      </c>
      <c r="G559" s="10"/>
    </row>
    <row r="560">
      <c r="A560" s="7">
        <v>44853.0</v>
      </c>
      <c r="B560" s="8" t="s">
        <v>35</v>
      </c>
      <c r="C560" s="11">
        <v>1097.0</v>
      </c>
      <c r="D560" s="10">
        <v>43.0</v>
      </c>
      <c r="E560" s="10">
        <v>133.0</v>
      </c>
      <c r="F560" s="10">
        <v>2022.0</v>
      </c>
      <c r="G560" s="10"/>
    </row>
    <row r="561">
      <c r="A561" s="7">
        <v>44853.0</v>
      </c>
      <c r="B561" s="8" t="s">
        <v>41</v>
      </c>
      <c r="C561" s="9">
        <v>194.0</v>
      </c>
      <c r="D561" s="10">
        <v>43.0</v>
      </c>
      <c r="E561" s="10">
        <v>133.0</v>
      </c>
      <c r="F561" s="10">
        <v>2022.0</v>
      </c>
      <c r="G561" s="10"/>
    </row>
    <row r="562">
      <c r="A562" s="7">
        <v>44853.0</v>
      </c>
      <c r="B562" s="8" t="s">
        <v>36</v>
      </c>
      <c r="C562" s="11">
        <v>1317.0</v>
      </c>
      <c r="D562" s="10">
        <v>43.0</v>
      </c>
      <c r="E562" s="10">
        <v>133.0</v>
      </c>
      <c r="F562" s="10">
        <v>2022.0</v>
      </c>
      <c r="G562" s="10"/>
    </row>
    <row r="563">
      <c r="A563" s="7">
        <v>44853.0</v>
      </c>
      <c r="B563" s="8" t="s">
        <v>37</v>
      </c>
      <c r="C563" s="11">
        <v>1250.0</v>
      </c>
      <c r="D563" s="10">
        <v>43.0</v>
      </c>
      <c r="E563" s="10">
        <v>133.0</v>
      </c>
      <c r="F563" s="10">
        <v>2022.0</v>
      </c>
      <c r="G563" s="10"/>
    </row>
    <row r="564">
      <c r="A564" s="7">
        <v>44853.0</v>
      </c>
      <c r="B564" s="8" t="s">
        <v>49</v>
      </c>
      <c r="C564" s="9">
        <v>191.0</v>
      </c>
      <c r="D564" s="10">
        <v>43.0</v>
      </c>
      <c r="E564" s="10">
        <v>133.0</v>
      </c>
      <c r="F564" s="10">
        <v>2022.0</v>
      </c>
      <c r="G564" s="10"/>
    </row>
    <row r="565">
      <c r="A565" s="7">
        <v>44853.0</v>
      </c>
      <c r="B565" s="8" t="s">
        <v>34</v>
      </c>
      <c r="C565" s="11">
        <v>2363.0</v>
      </c>
      <c r="D565" s="10">
        <v>43.0</v>
      </c>
      <c r="E565" s="10">
        <v>133.0</v>
      </c>
      <c r="F565" s="10">
        <v>2022.0</v>
      </c>
      <c r="G565" s="10"/>
    </row>
    <row r="566">
      <c r="A566" s="7">
        <v>44853.0</v>
      </c>
      <c r="B566" s="8" t="s">
        <v>44</v>
      </c>
      <c r="C566" s="9">
        <v>460.0</v>
      </c>
      <c r="D566" s="10">
        <v>43.0</v>
      </c>
      <c r="E566" s="10">
        <v>133.0</v>
      </c>
      <c r="F566" s="10">
        <v>2022.0</v>
      </c>
      <c r="G566" s="10"/>
    </row>
    <row r="567">
      <c r="A567" s="7">
        <v>44853.0</v>
      </c>
      <c r="B567" s="8" t="s">
        <v>38</v>
      </c>
      <c r="C567" s="9">
        <v>468.0</v>
      </c>
      <c r="D567" s="10">
        <v>43.0</v>
      </c>
      <c r="E567" s="10">
        <v>133.0</v>
      </c>
      <c r="F567" s="10">
        <v>2022.0</v>
      </c>
      <c r="G567" s="10"/>
    </row>
    <row r="568">
      <c r="A568" s="7">
        <v>44853.0</v>
      </c>
      <c r="B568" s="8" t="s">
        <v>40</v>
      </c>
      <c r="C568" s="9">
        <v>615.0</v>
      </c>
      <c r="D568" s="10">
        <v>43.0</v>
      </c>
      <c r="E568" s="10">
        <v>133.0</v>
      </c>
      <c r="F568" s="10">
        <v>2022.0</v>
      </c>
      <c r="G568" s="10"/>
    </row>
    <row r="569">
      <c r="A569" s="7">
        <v>44853.0</v>
      </c>
      <c r="B569" s="8" t="s">
        <v>43</v>
      </c>
      <c r="C569" s="9">
        <v>162.0</v>
      </c>
      <c r="D569" s="10">
        <v>43.0</v>
      </c>
      <c r="E569" s="10">
        <v>133.0</v>
      </c>
      <c r="F569" s="10">
        <v>2022.0</v>
      </c>
      <c r="G569" s="10"/>
    </row>
    <row r="570">
      <c r="A570" s="7">
        <v>44860.0</v>
      </c>
      <c r="B570" s="8" t="s">
        <v>35</v>
      </c>
      <c r="C570" s="9">
        <v>963.0</v>
      </c>
      <c r="D570" s="10">
        <v>44.0</v>
      </c>
      <c r="E570" s="10">
        <v>134.0</v>
      </c>
      <c r="F570" s="10">
        <v>2022.0</v>
      </c>
      <c r="G570" s="10"/>
    </row>
    <row r="571">
      <c r="A571" s="7">
        <v>44860.0</v>
      </c>
      <c r="B571" s="8" t="s">
        <v>41</v>
      </c>
      <c r="C571" s="9">
        <v>353.0</v>
      </c>
      <c r="D571" s="10">
        <v>44.0</v>
      </c>
      <c r="E571" s="10">
        <v>134.0</v>
      </c>
      <c r="F571" s="10">
        <v>2022.0</v>
      </c>
      <c r="G571" s="10"/>
    </row>
    <row r="572">
      <c r="A572" s="7">
        <v>44860.0</v>
      </c>
      <c r="B572" s="8" t="s">
        <v>36</v>
      </c>
      <c r="C572" s="11">
        <v>1414.0</v>
      </c>
      <c r="D572" s="10">
        <v>44.0</v>
      </c>
      <c r="E572" s="10">
        <v>134.0</v>
      </c>
      <c r="F572" s="10">
        <v>2022.0</v>
      </c>
      <c r="G572" s="10"/>
    </row>
    <row r="573">
      <c r="A573" s="7">
        <v>44860.0</v>
      </c>
      <c r="B573" s="8" t="s">
        <v>37</v>
      </c>
      <c r="C573" s="9">
        <v>852.0</v>
      </c>
      <c r="D573" s="10">
        <v>44.0</v>
      </c>
      <c r="E573" s="10">
        <v>134.0</v>
      </c>
      <c r="F573" s="10">
        <v>2022.0</v>
      </c>
      <c r="G573" s="10"/>
    </row>
    <row r="574">
      <c r="A574" s="7">
        <v>44860.0</v>
      </c>
      <c r="B574" s="8" t="s">
        <v>49</v>
      </c>
      <c r="C574" s="9">
        <v>293.0</v>
      </c>
      <c r="D574" s="10">
        <v>44.0</v>
      </c>
      <c r="E574" s="10">
        <v>134.0</v>
      </c>
      <c r="F574" s="10">
        <v>2022.0</v>
      </c>
      <c r="G574" s="10"/>
    </row>
    <row r="575">
      <c r="A575" s="7">
        <v>44860.0</v>
      </c>
      <c r="B575" s="8" t="s">
        <v>34</v>
      </c>
      <c r="C575" s="11">
        <v>1167.0</v>
      </c>
      <c r="D575" s="10">
        <v>44.0</v>
      </c>
      <c r="E575" s="10">
        <v>134.0</v>
      </c>
      <c r="F575" s="10">
        <v>2022.0</v>
      </c>
      <c r="G575" s="10"/>
    </row>
    <row r="576">
      <c r="A576" s="7">
        <v>44860.0</v>
      </c>
      <c r="B576" s="8" t="s">
        <v>44</v>
      </c>
      <c r="C576" s="9">
        <v>760.0</v>
      </c>
      <c r="D576" s="10">
        <v>44.0</v>
      </c>
      <c r="E576" s="10">
        <v>134.0</v>
      </c>
      <c r="F576" s="10">
        <v>2022.0</v>
      </c>
      <c r="G576" s="10"/>
    </row>
    <row r="577">
      <c r="A577" s="7">
        <v>44860.0</v>
      </c>
      <c r="B577" s="8" t="s">
        <v>38</v>
      </c>
      <c r="C577" s="9">
        <v>257.0</v>
      </c>
      <c r="D577" s="10">
        <v>44.0</v>
      </c>
      <c r="E577" s="10">
        <v>134.0</v>
      </c>
      <c r="F577" s="10">
        <v>2022.0</v>
      </c>
      <c r="G577" s="10"/>
    </row>
    <row r="578">
      <c r="A578" s="7">
        <v>44860.0</v>
      </c>
      <c r="B578" s="8" t="s">
        <v>40</v>
      </c>
      <c r="C578" s="11">
        <v>1106.0</v>
      </c>
      <c r="D578" s="10">
        <v>44.0</v>
      </c>
      <c r="E578" s="10">
        <v>134.0</v>
      </c>
      <c r="F578" s="10">
        <v>2022.0</v>
      </c>
      <c r="G578" s="10"/>
    </row>
    <row r="579">
      <c r="A579" s="7">
        <v>44860.0</v>
      </c>
      <c r="B579" s="8" t="s">
        <v>43</v>
      </c>
      <c r="C579" s="9">
        <v>158.0</v>
      </c>
      <c r="D579" s="10">
        <v>44.0</v>
      </c>
      <c r="E579" s="10">
        <v>134.0</v>
      </c>
      <c r="F579" s="10">
        <v>2022.0</v>
      </c>
      <c r="G579" s="10"/>
    </row>
    <row r="580">
      <c r="A580" s="7">
        <v>44867.0</v>
      </c>
      <c r="B580" s="8" t="s">
        <v>35</v>
      </c>
      <c r="C580" s="9">
        <v>783.0</v>
      </c>
      <c r="D580" s="10">
        <v>45.0</v>
      </c>
      <c r="E580" s="10">
        <v>135.0</v>
      </c>
      <c r="F580" s="10">
        <v>2022.0</v>
      </c>
      <c r="G580" s="10"/>
    </row>
    <row r="581">
      <c r="A581" s="7">
        <v>44867.0</v>
      </c>
      <c r="B581" s="8" t="s">
        <v>41</v>
      </c>
      <c r="C581" s="9">
        <v>267.0</v>
      </c>
      <c r="D581" s="10">
        <v>45.0</v>
      </c>
      <c r="E581" s="10">
        <v>135.0</v>
      </c>
      <c r="F581" s="10">
        <v>2022.0</v>
      </c>
      <c r="G581" s="10"/>
    </row>
    <row r="582">
      <c r="A582" s="7">
        <v>44867.0</v>
      </c>
      <c r="B582" s="8" t="s">
        <v>36</v>
      </c>
      <c r="C582" s="11">
        <v>2150.0</v>
      </c>
      <c r="D582" s="10">
        <v>45.0</v>
      </c>
      <c r="E582" s="10">
        <v>135.0</v>
      </c>
      <c r="F582" s="10">
        <v>2022.0</v>
      </c>
      <c r="G582" s="10"/>
    </row>
    <row r="583">
      <c r="A583" s="7">
        <v>44867.0</v>
      </c>
      <c r="B583" s="8" t="s">
        <v>37</v>
      </c>
      <c r="C583" s="11">
        <v>1149.0</v>
      </c>
      <c r="D583" s="10">
        <v>45.0</v>
      </c>
      <c r="E583" s="10">
        <v>135.0</v>
      </c>
      <c r="F583" s="10">
        <v>2022.0</v>
      </c>
      <c r="G583" s="10"/>
    </row>
    <row r="584">
      <c r="A584" s="7">
        <v>44867.0</v>
      </c>
      <c r="B584" s="8" t="s">
        <v>49</v>
      </c>
      <c r="C584" s="9">
        <v>387.0</v>
      </c>
      <c r="D584" s="10">
        <v>45.0</v>
      </c>
      <c r="E584" s="10">
        <v>135.0</v>
      </c>
      <c r="F584" s="10">
        <v>2022.0</v>
      </c>
      <c r="G584" s="10"/>
    </row>
    <row r="585">
      <c r="A585" s="7">
        <v>44867.0</v>
      </c>
      <c r="B585" s="8" t="s">
        <v>34</v>
      </c>
      <c r="C585" s="11">
        <v>2437.0</v>
      </c>
      <c r="D585" s="10">
        <v>45.0</v>
      </c>
      <c r="E585" s="10">
        <v>135.0</v>
      </c>
      <c r="F585" s="10">
        <v>2022.0</v>
      </c>
      <c r="G585" s="10"/>
    </row>
    <row r="586">
      <c r="A586" s="7">
        <v>44867.0</v>
      </c>
      <c r="B586" s="8" t="s">
        <v>44</v>
      </c>
      <c r="C586" s="9">
        <v>567.0</v>
      </c>
      <c r="D586" s="10">
        <v>45.0</v>
      </c>
      <c r="E586" s="10">
        <v>135.0</v>
      </c>
      <c r="F586" s="10">
        <v>2022.0</v>
      </c>
      <c r="G586" s="10"/>
    </row>
    <row r="587">
      <c r="A587" s="7">
        <v>44867.0</v>
      </c>
      <c r="B587" s="8" t="s">
        <v>38</v>
      </c>
      <c r="C587" s="9">
        <v>190.0</v>
      </c>
      <c r="D587" s="10">
        <v>45.0</v>
      </c>
      <c r="E587" s="10">
        <v>135.0</v>
      </c>
      <c r="F587" s="10">
        <v>2022.0</v>
      </c>
      <c r="G587" s="10"/>
    </row>
    <row r="588">
      <c r="A588" s="7">
        <v>44867.0</v>
      </c>
      <c r="B588" s="8" t="s">
        <v>40</v>
      </c>
      <c r="C588" s="9">
        <v>688.0</v>
      </c>
      <c r="D588" s="10">
        <v>45.0</v>
      </c>
      <c r="E588" s="10">
        <v>135.0</v>
      </c>
      <c r="F588" s="10">
        <v>2022.0</v>
      </c>
      <c r="G588" s="10"/>
    </row>
    <row r="589">
      <c r="A589" s="7">
        <v>44867.0</v>
      </c>
      <c r="B589" s="8" t="s">
        <v>43</v>
      </c>
      <c r="C589" s="9">
        <v>105.0</v>
      </c>
      <c r="D589" s="10">
        <v>45.0</v>
      </c>
      <c r="E589" s="10">
        <v>135.0</v>
      </c>
      <c r="F589" s="10">
        <v>2022.0</v>
      </c>
      <c r="G589" s="10"/>
    </row>
    <row r="590">
      <c r="A590" s="7">
        <v>44874.0</v>
      </c>
      <c r="B590" s="8" t="s">
        <v>35</v>
      </c>
      <c r="C590" s="11">
        <v>1939.0</v>
      </c>
      <c r="D590" s="10">
        <v>46.0</v>
      </c>
      <c r="E590" s="10">
        <v>136.0</v>
      </c>
      <c r="F590" s="10">
        <v>2022.0</v>
      </c>
      <c r="G590" s="10"/>
    </row>
    <row r="591">
      <c r="A591" s="7">
        <v>44874.0</v>
      </c>
      <c r="B591" s="8" t="s">
        <v>41</v>
      </c>
      <c r="C591" s="9">
        <v>154.0</v>
      </c>
      <c r="D591" s="10">
        <v>46.0</v>
      </c>
      <c r="E591" s="10">
        <v>136.0</v>
      </c>
      <c r="F591" s="10">
        <v>2022.0</v>
      </c>
      <c r="G591" s="10"/>
    </row>
    <row r="592">
      <c r="A592" s="7">
        <v>44874.0</v>
      </c>
      <c r="B592" s="8" t="s">
        <v>36</v>
      </c>
      <c r="C592" s="11">
        <v>2705.0</v>
      </c>
      <c r="D592" s="10">
        <v>46.0</v>
      </c>
      <c r="E592" s="10">
        <v>136.0</v>
      </c>
      <c r="F592" s="10">
        <v>2022.0</v>
      </c>
      <c r="G592" s="10"/>
    </row>
    <row r="593">
      <c r="A593" s="7">
        <v>44874.0</v>
      </c>
      <c r="B593" s="8" t="s">
        <v>37</v>
      </c>
      <c r="C593" s="11">
        <v>2101.0</v>
      </c>
      <c r="D593" s="10">
        <v>46.0</v>
      </c>
      <c r="E593" s="10">
        <v>136.0</v>
      </c>
      <c r="F593" s="10">
        <v>2022.0</v>
      </c>
      <c r="G593" s="10"/>
    </row>
    <row r="594">
      <c r="A594" s="7">
        <v>44874.0</v>
      </c>
      <c r="B594" s="8" t="s">
        <v>49</v>
      </c>
      <c r="C594" s="9">
        <v>324.0</v>
      </c>
      <c r="D594" s="10">
        <v>46.0</v>
      </c>
      <c r="E594" s="10">
        <v>136.0</v>
      </c>
      <c r="F594" s="10">
        <v>2022.0</v>
      </c>
      <c r="G594" s="10"/>
    </row>
    <row r="595">
      <c r="A595" s="7">
        <v>44874.0</v>
      </c>
      <c r="B595" s="8" t="s">
        <v>34</v>
      </c>
      <c r="C595" s="11">
        <v>5030.0</v>
      </c>
      <c r="D595" s="10">
        <v>46.0</v>
      </c>
      <c r="E595" s="10">
        <v>136.0</v>
      </c>
      <c r="F595" s="10">
        <v>2022.0</v>
      </c>
      <c r="G595" s="10"/>
    </row>
    <row r="596">
      <c r="A596" s="7">
        <v>44874.0</v>
      </c>
      <c r="B596" s="8" t="s">
        <v>44</v>
      </c>
      <c r="C596" s="9">
        <v>816.0</v>
      </c>
      <c r="D596" s="10">
        <v>46.0</v>
      </c>
      <c r="E596" s="10">
        <v>136.0</v>
      </c>
      <c r="F596" s="10">
        <v>2022.0</v>
      </c>
      <c r="G596" s="10"/>
    </row>
    <row r="597">
      <c r="A597" s="7">
        <v>44874.0</v>
      </c>
      <c r="B597" s="8" t="s">
        <v>38</v>
      </c>
      <c r="C597" s="9">
        <v>347.0</v>
      </c>
      <c r="D597" s="10">
        <v>46.0</v>
      </c>
      <c r="E597" s="10">
        <v>136.0</v>
      </c>
      <c r="F597" s="10">
        <v>2022.0</v>
      </c>
      <c r="G597" s="10"/>
    </row>
    <row r="598">
      <c r="A598" s="7">
        <v>44874.0</v>
      </c>
      <c r="B598" s="8" t="s">
        <v>40</v>
      </c>
      <c r="C598" s="9">
        <v>644.0</v>
      </c>
      <c r="D598" s="10">
        <v>46.0</v>
      </c>
      <c r="E598" s="10">
        <v>136.0</v>
      </c>
      <c r="F598" s="10">
        <v>2022.0</v>
      </c>
      <c r="G598" s="10"/>
    </row>
    <row r="599">
      <c r="A599" s="7">
        <v>44874.0</v>
      </c>
      <c r="B599" s="8" t="s">
        <v>43</v>
      </c>
      <c r="C599" s="9">
        <v>105.0</v>
      </c>
      <c r="D599" s="10">
        <v>46.0</v>
      </c>
      <c r="E599" s="10">
        <v>136.0</v>
      </c>
      <c r="F599" s="10">
        <v>2022.0</v>
      </c>
      <c r="G599" s="10"/>
    </row>
    <row r="600">
      <c r="A600" s="7">
        <v>44881.0</v>
      </c>
      <c r="B600" s="8" t="s">
        <v>35</v>
      </c>
      <c r="C600" s="11">
        <v>2897.0</v>
      </c>
      <c r="D600" s="10">
        <v>47.0</v>
      </c>
      <c r="E600" s="10">
        <v>137.0</v>
      </c>
      <c r="F600" s="10">
        <v>2022.0</v>
      </c>
      <c r="G600" s="10"/>
    </row>
    <row r="601">
      <c r="A601" s="7">
        <v>44881.0</v>
      </c>
      <c r="B601" s="8" t="s">
        <v>41</v>
      </c>
      <c r="C601" s="9">
        <v>625.0</v>
      </c>
      <c r="D601" s="10">
        <v>47.0</v>
      </c>
      <c r="E601" s="10">
        <v>137.0</v>
      </c>
      <c r="F601" s="10">
        <v>2022.0</v>
      </c>
      <c r="G601" s="10"/>
    </row>
    <row r="602">
      <c r="A602" s="7">
        <v>44881.0</v>
      </c>
      <c r="B602" s="8" t="s">
        <v>36</v>
      </c>
      <c r="C602" s="11">
        <v>1621.0</v>
      </c>
      <c r="D602" s="10">
        <v>47.0</v>
      </c>
      <c r="E602" s="10">
        <v>137.0</v>
      </c>
      <c r="F602" s="10">
        <v>2022.0</v>
      </c>
      <c r="G602" s="10"/>
    </row>
    <row r="603">
      <c r="A603" s="7">
        <v>44881.0</v>
      </c>
      <c r="B603" s="8" t="s">
        <v>37</v>
      </c>
      <c r="C603" s="11">
        <v>2098.0</v>
      </c>
      <c r="D603" s="10">
        <v>47.0</v>
      </c>
      <c r="E603" s="10">
        <v>137.0</v>
      </c>
      <c r="F603" s="10">
        <v>2022.0</v>
      </c>
      <c r="G603" s="10"/>
    </row>
    <row r="604">
      <c r="A604" s="7">
        <v>44881.0</v>
      </c>
      <c r="B604" s="8" t="s">
        <v>49</v>
      </c>
      <c r="C604" s="9">
        <v>393.0</v>
      </c>
      <c r="D604" s="10">
        <v>47.0</v>
      </c>
      <c r="E604" s="10">
        <v>137.0</v>
      </c>
      <c r="F604" s="10">
        <v>2022.0</v>
      </c>
      <c r="G604" s="10"/>
    </row>
    <row r="605">
      <c r="A605" s="7">
        <v>44881.0</v>
      </c>
      <c r="B605" s="8" t="s">
        <v>34</v>
      </c>
      <c r="C605" s="11">
        <v>10728.0</v>
      </c>
      <c r="D605" s="10">
        <v>47.0</v>
      </c>
      <c r="E605" s="10">
        <v>137.0</v>
      </c>
      <c r="F605" s="10">
        <v>2022.0</v>
      </c>
      <c r="G605" s="10"/>
    </row>
    <row r="606">
      <c r="A606" s="7">
        <v>44881.0</v>
      </c>
      <c r="B606" s="8" t="s">
        <v>44</v>
      </c>
      <c r="C606" s="9">
        <v>950.0</v>
      </c>
      <c r="D606" s="10">
        <v>47.0</v>
      </c>
      <c r="E606" s="10">
        <v>137.0</v>
      </c>
      <c r="F606" s="10">
        <v>2022.0</v>
      </c>
      <c r="G606" s="10"/>
    </row>
    <row r="607">
      <c r="A607" s="7">
        <v>44881.0</v>
      </c>
      <c r="B607" s="8" t="s">
        <v>38</v>
      </c>
      <c r="C607" s="9">
        <v>324.0</v>
      </c>
      <c r="D607" s="10">
        <v>47.0</v>
      </c>
      <c r="E607" s="10">
        <v>137.0</v>
      </c>
      <c r="F607" s="10">
        <v>2022.0</v>
      </c>
      <c r="G607" s="10"/>
    </row>
    <row r="608">
      <c r="A608" s="7">
        <v>44881.0</v>
      </c>
      <c r="B608" s="8" t="s">
        <v>40</v>
      </c>
      <c r="C608" s="11">
        <v>3594.0</v>
      </c>
      <c r="D608" s="10">
        <v>47.0</v>
      </c>
      <c r="E608" s="10">
        <v>137.0</v>
      </c>
      <c r="F608" s="10">
        <v>2022.0</v>
      </c>
      <c r="G608" s="10"/>
    </row>
    <row r="609">
      <c r="A609" s="7">
        <v>44881.0</v>
      </c>
      <c r="B609" s="8" t="s">
        <v>43</v>
      </c>
      <c r="C609" s="9">
        <v>142.0</v>
      </c>
      <c r="D609" s="10">
        <v>47.0</v>
      </c>
      <c r="E609" s="10">
        <v>137.0</v>
      </c>
      <c r="F609" s="10">
        <v>2022.0</v>
      </c>
      <c r="G609" s="10"/>
    </row>
    <row r="610">
      <c r="A610" s="7">
        <v>44895.0</v>
      </c>
      <c r="B610" s="8" t="s">
        <v>35</v>
      </c>
      <c r="C610" s="11">
        <v>1543.0</v>
      </c>
      <c r="D610" s="10">
        <v>49.0</v>
      </c>
      <c r="E610" s="10">
        <v>139.0</v>
      </c>
      <c r="F610" s="10">
        <v>2022.0</v>
      </c>
      <c r="G610" s="10"/>
    </row>
    <row r="611">
      <c r="A611" s="7">
        <v>44895.0</v>
      </c>
      <c r="B611" s="8" t="s">
        <v>41</v>
      </c>
      <c r="C611" s="9">
        <v>248.0</v>
      </c>
      <c r="D611" s="10">
        <v>49.0</v>
      </c>
      <c r="E611" s="10">
        <v>139.0</v>
      </c>
      <c r="F611" s="10">
        <v>2022.0</v>
      </c>
      <c r="G611" s="10"/>
    </row>
    <row r="612">
      <c r="A612" s="7">
        <v>44895.0</v>
      </c>
      <c r="B612" s="8" t="s">
        <v>36</v>
      </c>
      <c r="C612" s="11">
        <v>1156.0</v>
      </c>
      <c r="D612" s="10">
        <v>49.0</v>
      </c>
      <c r="E612" s="10">
        <v>139.0</v>
      </c>
      <c r="F612" s="10">
        <v>2022.0</v>
      </c>
      <c r="G612" s="10"/>
    </row>
    <row r="613">
      <c r="A613" s="7">
        <v>44895.0</v>
      </c>
      <c r="B613" s="8" t="s">
        <v>37</v>
      </c>
      <c r="C613" s="11">
        <v>1497.0</v>
      </c>
      <c r="D613" s="10">
        <v>49.0</v>
      </c>
      <c r="E613" s="10">
        <v>139.0</v>
      </c>
      <c r="F613" s="10">
        <v>2022.0</v>
      </c>
      <c r="G613" s="10"/>
    </row>
    <row r="614">
      <c r="A614" s="7">
        <v>44895.0</v>
      </c>
      <c r="B614" s="8" t="s">
        <v>49</v>
      </c>
      <c r="C614" s="9">
        <v>431.0</v>
      </c>
      <c r="D614" s="10">
        <v>49.0</v>
      </c>
      <c r="E614" s="10">
        <v>139.0</v>
      </c>
      <c r="F614" s="10">
        <v>2022.0</v>
      </c>
      <c r="G614" s="10"/>
    </row>
    <row r="615">
      <c r="A615" s="7">
        <v>44895.0</v>
      </c>
      <c r="B615" s="8" t="s">
        <v>34</v>
      </c>
      <c r="C615" s="11">
        <v>4652.0</v>
      </c>
      <c r="D615" s="10">
        <v>49.0</v>
      </c>
      <c r="E615" s="10">
        <v>139.0</v>
      </c>
      <c r="F615" s="10">
        <v>2022.0</v>
      </c>
      <c r="G615" s="10"/>
    </row>
    <row r="616">
      <c r="A616" s="7">
        <v>44895.0</v>
      </c>
      <c r="B616" s="8" t="s">
        <v>44</v>
      </c>
      <c r="C616" s="9">
        <v>363.0</v>
      </c>
      <c r="D616" s="10">
        <v>49.0</v>
      </c>
      <c r="E616" s="10">
        <v>139.0</v>
      </c>
      <c r="F616" s="10">
        <v>2022.0</v>
      </c>
      <c r="G616" s="10"/>
    </row>
    <row r="617">
      <c r="A617" s="7">
        <v>44895.0</v>
      </c>
      <c r="B617" s="8" t="s">
        <v>38</v>
      </c>
      <c r="C617" s="9">
        <v>347.0</v>
      </c>
      <c r="D617" s="10">
        <v>49.0</v>
      </c>
      <c r="E617" s="10">
        <v>139.0</v>
      </c>
      <c r="F617" s="10">
        <v>2022.0</v>
      </c>
      <c r="G617" s="10"/>
    </row>
    <row r="618">
      <c r="A618" s="7">
        <v>44895.0</v>
      </c>
      <c r="B618" s="8" t="s">
        <v>40</v>
      </c>
      <c r="C618" s="9">
        <v>948.0</v>
      </c>
      <c r="D618" s="10">
        <v>49.0</v>
      </c>
      <c r="E618" s="10">
        <v>139.0</v>
      </c>
      <c r="F618" s="10">
        <v>2022.0</v>
      </c>
      <c r="G618" s="10"/>
    </row>
    <row r="619">
      <c r="A619" s="7">
        <v>44895.0</v>
      </c>
      <c r="B619" s="8" t="s">
        <v>43</v>
      </c>
      <c r="C619" s="9">
        <v>200.0</v>
      </c>
      <c r="D619" s="10">
        <v>49.0</v>
      </c>
      <c r="E619" s="10">
        <v>139.0</v>
      </c>
      <c r="F619" s="10">
        <v>2022.0</v>
      </c>
      <c r="G619" s="10"/>
    </row>
    <row r="620">
      <c r="A620" s="7">
        <v>44902.0</v>
      </c>
      <c r="B620" s="8" t="s">
        <v>35</v>
      </c>
      <c r="C620" s="11">
        <v>1134.0</v>
      </c>
      <c r="D620" s="10">
        <v>50.0</v>
      </c>
      <c r="E620" s="10">
        <v>140.0</v>
      </c>
      <c r="F620" s="10">
        <v>2022.0</v>
      </c>
      <c r="G620" s="10"/>
    </row>
    <row r="621">
      <c r="A621" s="7">
        <v>44902.0</v>
      </c>
      <c r="B621" s="8" t="s">
        <v>41</v>
      </c>
      <c r="C621" s="9">
        <v>150.0</v>
      </c>
      <c r="D621" s="10">
        <v>50.0</v>
      </c>
      <c r="E621" s="10">
        <v>140.0</v>
      </c>
      <c r="F621" s="10">
        <v>2022.0</v>
      </c>
      <c r="G621" s="10"/>
    </row>
    <row r="622">
      <c r="A622" s="7">
        <v>44902.0</v>
      </c>
      <c r="B622" s="8" t="s">
        <v>36</v>
      </c>
      <c r="C622" s="11">
        <v>1238.0</v>
      </c>
      <c r="D622" s="10">
        <v>50.0</v>
      </c>
      <c r="E622" s="10">
        <v>140.0</v>
      </c>
      <c r="F622" s="10">
        <v>2022.0</v>
      </c>
      <c r="G622" s="10"/>
    </row>
    <row r="623">
      <c r="A623" s="7">
        <v>44902.0</v>
      </c>
      <c r="B623" s="8" t="s">
        <v>37</v>
      </c>
      <c r="C623" s="11">
        <v>1826.0</v>
      </c>
      <c r="D623" s="10">
        <v>50.0</v>
      </c>
      <c r="E623" s="10">
        <v>140.0</v>
      </c>
      <c r="F623" s="10">
        <v>2022.0</v>
      </c>
      <c r="G623" s="10"/>
    </row>
    <row r="624">
      <c r="A624" s="7">
        <v>44902.0</v>
      </c>
      <c r="B624" s="8" t="s">
        <v>49</v>
      </c>
      <c r="C624" s="9">
        <v>247.0</v>
      </c>
      <c r="D624" s="10">
        <v>50.0</v>
      </c>
      <c r="E624" s="10">
        <v>140.0</v>
      </c>
      <c r="F624" s="10">
        <v>2022.0</v>
      </c>
      <c r="G624" s="10"/>
    </row>
    <row r="625">
      <c r="A625" s="7">
        <v>44902.0</v>
      </c>
      <c r="B625" s="8" t="s">
        <v>34</v>
      </c>
      <c r="C625" s="11">
        <v>2722.0</v>
      </c>
      <c r="D625" s="10">
        <v>50.0</v>
      </c>
      <c r="E625" s="10">
        <v>140.0</v>
      </c>
      <c r="F625" s="10">
        <v>2022.0</v>
      </c>
      <c r="G625" s="10"/>
    </row>
    <row r="626">
      <c r="A626" s="7">
        <v>44902.0</v>
      </c>
      <c r="B626" s="8" t="s">
        <v>44</v>
      </c>
      <c r="C626" s="9">
        <v>487.0</v>
      </c>
      <c r="D626" s="10">
        <v>50.0</v>
      </c>
      <c r="E626" s="10">
        <v>140.0</v>
      </c>
      <c r="F626" s="10">
        <v>2022.0</v>
      </c>
      <c r="G626" s="10"/>
    </row>
    <row r="627">
      <c r="A627" s="7">
        <v>44902.0</v>
      </c>
      <c r="B627" s="8" t="s">
        <v>38</v>
      </c>
      <c r="C627" s="9">
        <v>410.0</v>
      </c>
      <c r="D627" s="10">
        <v>50.0</v>
      </c>
      <c r="E627" s="10">
        <v>140.0</v>
      </c>
      <c r="F627" s="10">
        <v>2022.0</v>
      </c>
      <c r="G627" s="10"/>
    </row>
    <row r="628">
      <c r="A628" s="7">
        <v>44902.0</v>
      </c>
      <c r="B628" s="8" t="s">
        <v>40</v>
      </c>
      <c r="C628" s="9">
        <v>517.0</v>
      </c>
      <c r="D628" s="10">
        <v>50.0</v>
      </c>
      <c r="E628" s="10">
        <v>140.0</v>
      </c>
      <c r="F628" s="10">
        <v>2022.0</v>
      </c>
      <c r="G628" s="10"/>
    </row>
    <row r="629">
      <c r="A629" s="7">
        <v>44902.0</v>
      </c>
      <c r="B629" s="8" t="s">
        <v>43</v>
      </c>
      <c r="C629" s="9">
        <v>100.0</v>
      </c>
      <c r="D629" s="10">
        <v>50.0</v>
      </c>
      <c r="E629" s="10">
        <v>140.0</v>
      </c>
      <c r="F629" s="10">
        <v>2022.0</v>
      </c>
      <c r="G629" s="10"/>
    </row>
    <row r="630">
      <c r="A630" s="7">
        <v>44909.0</v>
      </c>
      <c r="B630" s="8" t="s">
        <v>35</v>
      </c>
      <c r="C630" s="11">
        <v>1471.0</v>
      </c>
      <c r="D630" s="10">
        <v>51.0</v>
      </c>
      <c r="E630" s="10">
        <v>141.0</v>
      </c>
      <c r="F630" s="10">
        <v>2022.0</v>
      </c>
      <c r="G630" s="10"/>
    </row>
    <row r="631">
      <c r="A631" s="7">
        <v>44909.0</v>
      </c>
      <c r="B631" s="8" t="s">
        <v>41</v>
      </c>
      <c r="C631" s="9">
        <v>233.0</v>
      </c>
      <c r="D631" s="10">
        <v>51.0</v>
      </c>
      <c r="E631" s="10">
        <v>141.0</v>
      </c>
      <c r="F631" s="10">
        <v>2022.0</v>
      </c>
      <c r="G631" s="10"/>
    </row>
    <row r="632">
      <c r="A632" s="7">
        <v>44909.0</v>
      </c>
      <c r="B632" s="8" t="s">
        <v>36</v>
      </c>
      <c r="C632" s="11">
        <v>2186.0</v>
      </c>
      <c r="D632" s="10">
        <v>51.0</v>
      </c>
      <c r="E632" s="10">
        <v>141.0</v>
      </c>
      <c r="F632" s="10">
        <v>2022.0</v>
      </c>
      <c r="G632" s="10"/>
    </row>
    <row r="633">
      <c r="A633" s="7">
        <v>44909.0</v>
      </c>
      <c r="B633" s="8" t="s">
        <v>37</v>
      </c>
      <c r="C633" s="11">
        <v>1690.0</v>
      </c>
      <c r="D633" s="10">
        <v>51.0</v>
      </c>
      <c r="E633" s="10">
        <v>141.0</v>
      </c>
      <c r="F633" s="10">
        <v>2022.0</v>
      </c>
      <c r="G633" s="10"/>
    </row>
    <row r="634">
      <c r="A634" s="7">
        <v>44909.0</v>
      </c>
      <c r="B634" s="8" t="s">
        <v>49</v>
      </c>
      <c r="C634" s="9">
        <v>301.0</v>
      </c>
      <c r="D634" s="10">
        <v>51.0</v>
      </c>
      <c r="E634" s="10">
        <v>141.0</v>
      </c>
      <c r="F634" s="10">
        <v>2022.0</v>
      </c>
      <c r="G634" s="10"/>
    </row>
    <row r="635">
      <c r="A635" s="7">
        <v>44909.0</v>
      </c>
      <c r="B635" s="8" t="s">
        <v>44</v>
      </c>
      <c r="C635" s="9">
        <v>235.0</v>
      </c>
      <c r="D635" s="10">
        <v>51.0</v>
      </c>
      <c r="E635" s="10">
        <v>141.0</v>
      </c>
      <c r="F635" s="10">
        <v>2022.0</v>
      </c>
      <c r="G635" s="10"/>
    </row>
    <row r="636">
      <c r="A636" s="7">
        <v>44909.0</v>
      </c>
      <c r="B636" s="8" t="s">
        <v>38</v>
      </c>
      <c r="C636" s="9">
        <v>530.0</v>
      </c>
      <c r="D636" s="10">
        <v>51.0</v>
      </c>
      <c r="E636" s="10">
        <v>141.0</v>
      </c>
      <c r="F636" s="10">
        <v>2022.0</v>
      </c>
      <c r="G636" s="10"/>
    </row>
    <row r="637">
      <c r="A637" s="7">
        <v>44909.0</v>
      </c>
      <c r="B637" s="8" t="s">
        <v>40</v>
      </c>
      <c r="C637" s="9">
        <v>560.0</v>
      </c>
      <c r="D637" s="10">
        <v>51.0</v>
      </c>
      <c r="E637" s="10">
        <v>141.0</v>
      </c>
      <c r="F637" s="10">
        <v>2022.0</v>
      </c>
      <c r="G637" s="10"/>
    </row>
    <row r="638">
      <c r="A638" s="7">
        <v>44909.0</v>
      </c>
      <c r="B638" s="8" t="s">
        <v>43</v>
      </c>
      <c r="C638" s="9">
        <v>136.0</v>
      </c>
      <c r="D638" s="10">
        <v>51.0</v>
      </c>
      <c r="E638" s="10">
        <v>141.0</v>
      </c>
      <c r="F638" s="10">
        <v>2022.0</v>
      </c>
      <c r="G638" s="10"/>
    </row>
    <row r="639">
      <c r="A639" s="7">
        <v>44916.0</v>
      </c>
      <c r="B639" s="8" t="s">
        <v>35</v>
      </c>
      <c r="C639" s="9">
        <v>493.0</v>
      </c>
      <c r="D639" s="10">
        <v>52.0</v>
      </c>
      <c r="E639" s="10">
        <v>142.0</v>
      </c>
      <c r="F639" s="10">
        <v>2022.0</v>
      </c>
      <c r="G639" s="10"/>
    </row>
    <row r="640">
      <c r="A640" s="7">
        <v>44916.0</v>
      </c>
      <c r="B640" s="8" t="s">
        <v>36</v>
      </c>
      <c r="C640" s="11">
        <v>1204.0</v>
      </c>
      <c r="D640" s="10">
        <v>52.0</v>
      </c>
      <c r="E640" s="10">
        <v>142.0</v>
      </c>
      <c r="F640" s="10">
        <v>2022.0</v>
      </c>
      <c r="G640" s="10"/>
    </row>
    <row r="641">
      <c r="A641" s="7">
        <v>44916.0</v>
      </c>
      <c r="B641" s="8" t="s">
        <v>37</v>
      </c>
      <c r="C641" s="11">
        <v>1856.0</v>
      </c>
      <c r="D641" s="10">
        <v>52.0</v>
      </c>
      <c r="E641" s="10">
        <v>142.0</v>
      </c>
      <c r="F641" s="10">
        <v>2022.0</v>
      </c>
      <c r="G641" s="10"/>
    </row>
    <row r="642">
      <c r="A642" s="7">
        <v>44916.0</v>
      </c>
      <c r="B642" s="8" t="s">
        <v>34</v>
      </c>
      <c r="C642" s="11">
        <v>4000.0</v>
      </c>
      <c r="D642" s="10">
        <v>52.0</v>
      </c>
      <c r="E642" s="10">
        <v>142.0</v>
      </c>
      <c r="F642" s="10">
        <v>2022.0</v>
      </c>
      <c r="G642" s="10"/>
    </row>
    <row r="643">
      <c r="A643" s="7">
        <v>44916.0</v>
      </c>
      <c r="B643" s="8" t="s">
        <v>44</v>
      </c>
      <c r="C643" s="9">
        <v>300.0</v>
      </c>
      <c r="D643" s="10">
        <v>52.0</v>
      </c>
      <c r="E643" s="10">
        <v>142.0</v>
      </c>
      <c r="F643" s="10">
        <v>2022.0</v>
      </c>
      <c r="G643" s="10"/>
    </row>
    <row r="644">
      <c r="A644" s="7">
        <v>44916.0</v>
      </c>
      <c r="B644" s="8" t="s">
        <v>38</v>
      </c>
      <c r="C644" s="9">
        <v>321.0</v>
      </c>
      <c r="D644" s="10">
        <v>52.0</v>
      </c>
      <c r="E644" s="10">
        <v>142.0</v>
      </c>
      <c r="F644" s="10">
        <v>2022.0</v>
      </c>
      <c r="G644" s="10"/>
    </row>
    <row r="645">
      <c r="A645" s="7">
        <v>44916.0</v>
      </c>
      <c r="B645" s="8" t="s">
        <v>40</v>
      </c>
      <c r="C645" s="9">
        <v>184.0</v>
      </c>
      <c r="D645" s="10">
        <v>52.0</v>
      </c>
      <c r="E645" s="10">
        <v>142.0</v>
      </c>
      <c r="F645" s="10">
        <v>2022.0</v>
      </c>
      <c r="G645" s="10"/>
    </row>
    <row r="646">
      <c r="A646" s="7">
        <v>44916.0</v>
      </c>
      <c r="B646" s="8" t="s">
        <v>43</v>
      </c>
      <c r="C646" s="9">
        <v>210.0</v>
      </c>
      <c r="D646" s="10">
        <v>52.0</v>
      </c>
      <c r="E646" s="10">
        <v>142.0</v>
      </c>
      <c r="F646" s="10">
        <v>2022.0</v>
      </c>
      <c r="G646" s="10"/>
    </row>
    <row r="647">
      <c r="A647" s="7">
        <v>44923.0</v>
      </c>
      <c r="B647" s="8" t="s">
        <v>35</v>
      </c>
      <c r="C647" s="9">
        <v>799.0</v>
      </c>
      <c r="D647" s="10">
        <v>53.0</v>
      </c>
      <c r="E647" s="10">
        <v>143.0</v>
      </c>
      <c r="F647" s="10">
        <v>2022.0</v>
      </c>
      <c r="G647" s="10"/>
    </row>
    <row r="648">
      <c r="A648" s="7">
        <v>44923.0</v>
      </c>
      <c r="B648" s="8" t="s">
        <v>36</v>
      </c>
      <c r="C648" s="9">
        <v>888.0</v>
      </c>
      <c r="D648" s="10">
        <v>53.0</v>
      </c>
      <c r="E648" s="10">
        <v>143.0</v>
      </c>
      <c r="F648" s="10">
        <v>2022.0</v>
      </c>
      <c r="G648" s="10"/>
    </row>
    <row r="649">
      <c r="A649" s="7">
        <v>44923.0</v>
      </c>
      <c r="B649" s="8" t="s">
        <v>37</v>
      </c>
      <c r="C649" s="11">
        <v>1411.0</v>
      </c>
      <c r="D649" s="10">
        <v>53.0</v>
      </c>
      <c r="E649" s="10">
        <v>143.0</v>
      </c>
      <c r="F649" s="10">
        <v>2022.0</v>
      </c>
      <c r="G649" s="10"/>
    </row>
    <row r="650">
      <c r="A650" s="7">
        <v>44923.0</v>
      </c>
      <c r="B650" s="8" t="s">
        <v>49</v>
      </c>
      <c r="C650" s="9">
        <v>247.0</v>
      </c>
      <c r="D650" s="10">
        <v>53.0</v>
      </c>
      <c r="E650" s="10">
        <v>143.0</v>
      </c>
      <c r="F650" s="10">
        <v>2022.0</v>
      </c>
      <c r="G650" s="10"/>
    </row>
    <row r="651">
      <c r="A651" s="7">
        <v>44923.0</v>
      </c>
      <c r="B651" s="8" t="s">
        <v>34</v>
      </c>
      <c r="C651" s="9">
        <v>100.0</v>
      </c>
      <c r="D651" s="10">
        <v>53.0</v>
      </c>
      <c r="E651" s="10">
        <v>143.0</v>
      </c>
      <c r="F651" s="10">
        <v>2022.0</v>
      </c>
      <c r="G651" s="10"/>
    </row>
    <row r="652">
      <c r="A652" s="7">
        <v>44923.0</v>
      </c>
      <c r="B652" s="8" t="s">
        <v>44</v>
      </c>
      <c r="C652" s="9">
        <v>40.0</v>
      </c>
      <c r="D652" s="10">
        <v>53.0</v>
      </c>
      <c r="E652" s="10">
        <v>143.0</v>
      </c>
      <c r="F652" s="10">
        <v>2022.0</v>
      </c>
      <c r="G652" s="10"/>
    </row>
    <row r="653">
      <c r="A653" s="7">
        <v>44923.0</v>
      </c>
      <c r="B653" s="8" t="s">
        <v>38</v>
      </c>
      <c r="C653" s="9">
        <v>140.0</v>
      </c>
      <c r="D653" s="10">
        <v>53.0</v>
      </c>
      <c r="E653" s="10">
        <v>143.0</v>
      </c>
      <c r="F653" s="10">
        <v>2022.0</v>
      </c>
      <c r="G653" s="10"/>
    </row>
    <row r="654">
      <c r="A654" s="7">
        <v>44923.0</v>
      </c>
      <c r="B654" s="8" t="s">
        <v>40</v>
      </c>
      <c r="C654" s="9">
        <v>40.0</v>
      </c>
      <c r="D654" s="10">
        <v>53.0</v>
      </c>
      <c r="E654" s="10">
        <v>143.0</v>
      </c>
      <c r="F654" s="10">
        <v>2022.0</v>
      </c>
      <c r="G654" s="10"/>
    </row>
    <row r="655">
      <c r="A655" s="7">
        <v>44930.0</v>
      </c>
      <c r="B655" s="8" t="s">
        <v>35</v>
      </c>
      <c r="C655" s="9">
        <v>818.0</v>
      </c>
      <c r="D655" s="10">
        <v>1.0</v>
      </c>
      <c r="E655" s="10">
        <v>144.0</v>
      </c>
      <c r="F655" s="10">
        <v>2023.0</v>
      </c>
      <c r="G655" s="10"/>
    </row>
    <row r="656">
      <c r="A656" s="7">
        <v>44930.0</v>
      </c>
      <c r="B656" s="8" t="s">
        <v>41</v>
      </c>
      <c r="C656" s="9">
        <v>161.0</v>
      </c>
      <c r="D656" s="10">
        <v>1.0</v>
      </c>
      <c r="E656" s="10">
        <v>144.0</v>
      </c>
      <c r="F656" s="10">
        <v>2023.0</v>
      </c>
      <c r="G656" s="10"/>
    </row>
    <row r="657">
      <c r="A657" s="7">
        <v>44930.0</v>
      </c>
      <c r="B657" s="8" t="s">
        <v>36</v>
      </c>
      <c r="C657" s="11">
        <v>1326.0</v>
      </c>
      <c r="D657" s="10">
        <v>1.0</v>
      </c>
      <c r="E657" s="10">
        <v>144.0</v>
      </c>
      <c r="F657" s="10">
        <v>2023.0</v>
      </c>
      <c r="G657" s="10"/>
    </row>
    <row r="658">
      <c r="A658" s="7">
        <v>44930.0</v>
      </c>
      <c r="B658" s="8" t="s">
        <v>37</v>
      </c>
      <c r="C658" s="11">
        <v>1204.0</v>
      </c>
      <c r="D658" s="10">
        <v>1.0</v>
      </c>
      <c r="E658" s="10">
        <v>144.0</v>
      </c>
      <c r="F658" s="10">
        <v>2023.0</v>
      </c>
      <c r="G658" s="10"/>
    </row>
    <row r="659">
      <c r="A659" s="7">
        <v>44930.0</v>
      </c>
      <c r="B659" s="8" t="s">
        <v>49</v>
      </c>
      <c r="C659" s="9">
        <v>412.0</v>
      </c>
      <c r="D659" s="10">
        <v>1.0</v>
      </c>
      <c r="E659" s="10">
        <v>144.0</v>
      </c>
      <c r="F659" s="10">
        <v>2023.0</v>
      </c>
      <c r="G659" s="10"/>
    </row>
    <row r="660">
      <c r="A660" s="7">
        <v>44930.0</v>
      </c>
      <c r="B660" s="8" t="s">
        <v>44</v>
      </c>
      <c r="C660" s="9">
        <v>206.0</v>
      </c>
      <c r="D660" s="10">
        <v>1.0</v>
      </c>
      <c r="E660" s="10">
        <v>144.0</v>
      </c>
      <c r="F660" s="10">
        <v>2023.0</v>
      </c>
      <c r="G660" s="10"/>
    </row>
    <row r="661">
      <c r="A661" s="7">
        <v>44930.0</v>
      </c>
      <c r="B661" s="8" t="s">
        <v>38</v>
      </c>
      <c r="C661" s="9">
        <v>263.0</v>
      </c>
      <c r="D661" s="10">
        <v>1.0</v>
      </c>
      <c r="E661" s="10">
        <v>144.0</v>
      </c>
      <c r="F661" s="10">
        <v>2023.0</v>
      </c>
      <c r="G661" s="10"/>
    </row>
    <row r="662">
      <c r="A662" s="7">
        <v>44930.0</v>
      </c>
      <c r="B662" s="8" t="s">
        <v>40</v>
      </c>
      <c r="C662" s="9">
        <v>250.0</v>
      </c>
      <c r="D662" s="10">
        <v>1.0</v>
      </c>
      <c r="E662" s="10">
        <v>144.0</v>
      </c>
      <c r="F662" s="10">
        <v>2023.0</v>
      </c>
      <c r="G662" s="10"/>
    </row>
    <row r="663">
      <c r="A663" s="7">
        <v>44930.0</v>
      </c>
      <c r="B663" s="8" t="s">
        <v>43</v>
      </c>
      <c r="C663" s="9">
        <v>106.0</v>
      </c>
      <c r="D663" s="10">
        <v>1.0</v>
      </c>
      <c r="E663" s="10">
        <v>144.0</v>
      </c>
      <c r="F663" s="10">
        <v>2023.0</v>
      </c>
      <c r="G663" s="10"/>
    </row>
    <row r="664">
      <c r="A664" s="7">
        <v>44937.0</v>
      </c>
      <c r="B664" s="8" t="s">
        <v>35</v>
      </c>
      <c r="C664" s="9">
        <v>888.0</v>
      </c>
      <c r="D664" s="10">
        <v>2.0</v>
      </c>
      <c r="E664" s="10">
        <v>145.0</v>
      </c>
      <c r="F664" s="10">
        <v>2023.0</v>
      </c>
      <c r="G664" s="10"/>
    </row>
    <row r="665">
      <c r="A665" s="7">
        <v>44937.0</v>
      </c>
      <c r="B665" s="8" t="s">
        <v>41</v>
      </c>
      <c r="C665" s="9">
        <v>622.0</v>
      </c>
      <c r="D665" s="10">
        <v>2.0</v>
      </c>
      <c r="E665" s="10">
        <v>145.0</v>
      </c>
      <c r="F665" s="10">
        <v>2023.0</v>
      </c>
      <c r="G665" s="10"/>
    </row>
    <row r="666">
      <c r="A666" s="7">
        <v>44937.0</v>
      </c>
      <c r="B666" s="8" t="s">
        <v>36</v>
      </c>
      <c r="C666" s="11">
        <v>1422.0</v>
      </c>
      <c r="D666" s="10">
        <v>2.0</v>
      </c>
      <c r="E666" s="10">
        <v>145.0</v>
      </c>
      <c r="F666" s="10">
        <v>2023.0</v>
      </c>
      <c r="G666" s="10"/>
    </row>
    <row r="667">
      <c r="A667" s="7">
        <v>44937.0</v>
      </c>
      <c r="B667" s="8" t="s">
        <v>37</v>
      </c>
      <c r="C667" s="9">
        <v>650.0</v>
      </c>
      <c r="D667" s="10">
        <v>2.0</v>
      </c>
      <c r="E667" s="10">
        <v>145.0</v>
      </c>
      <c r="F667" s="10">
        <v>2023.0</v>
      </c>
      <c r="G667" s="10"/>
    </row>
    <row r="668">
      <c r="A668" s="7">
        <v>44937.0</v>
      </c>
      <c r="B668" s="8" t="s">
        <v>49</v>
      </c>
      <c r="C668" s="9">
        <v>291.0</v>
      </c>
      <c r="D668" s="10">
        <v>2.0</v>
      </c>
      <c r="E668" s="10">
        <v>145.0</v>
      </c>
      <c r="F668" s="10">
        <v>2023.0</v>
      </c>
      <c r="G668" s="10"/>
    </row>
    <row r="669">
      <c r="A669" s="7">
        <v>44937.0</v>
      </c>
      <c r="B669" s="8" t="s">
        <v>44</v>
      </c>
      <c r="C669" s="9">
        <v>152.0</v>
      </c>
      <c r="D669" s="10">
        <v>2.0</v>
      </c>
      <c r="E669" s="10">
        <v>145.0</v>
      </c>
      <c r="F669" s="10">
        <v>2023.0</v>
      </c>
      <c r="G669" s="10"/>
    </row>
    <row r="670">
      <c r="A670" s="7">
        <v>44937.0</v>
      </c>
      <c r="B670" s="8" t="s">
        <v>38</v>
      </c>
      <c r="C670" s="9">
        <v>444.0</v>
      </c>
      <c r="D670" s="10">
        <v>2.0</v>
      </c>
      <c r="E670" s="10">
        <v>145.0</v>
      </c>
      <c r="F670" s="10">
        <v>2023.0</v>
      </c>
      <c r="G670" s="10"/>
    </row>
    <row r="671">
      <c r="A671" s="7">
        <v>44937.0</v>
      </c>
      <c r="B671" s="8" t="s">
        <v>40</v>
      </c>
      <c r="C671" s="9">
        <v>514.0</v>
      </c>
      <c r="D671" s="10">
        <v>2.0</v>
      </c>
      <c r="E671" s="10">
        <v>145.0</v>
      </c>
      <c r="F671" s="10">
        <v>2023.0</v>
      </c>
      <c r="G671" s="10"/>
    </row>
    <row r="672">
      <c r="A672" s="7">
        <v>44937.0</v>
      </c>
      <c r="B672" s="8" t="s">
        <v>43</v>
      </c>
      <c r="C672" s="9">
        <v>151.0</v>
      </c>
      <c r="D672" s="10">
        <v>2.0</v>
      </c>
      <c r="E672" s="10">
        <v>145.0</v>
      </c>
      <c r="F672" s="10">
        <v>2023.0</v>
      </c>
      <c r="G672" s="10"/>
    </row>
    <row r="673">
      <c r="A673" s="7">
        <v>44942.0</v>
      </c>
      <c r="B673" s="8" t="s">
        <v>50</v>
      </c>
      <c r="C673" s="9">
        <v>21988.0</v>
      </c>
      <c r="D673" s="10">
        <v>3.0</v>
      </c>
      <c r="E673" s="10">
        <v>146.0</v>
      </c>
      <c r="F673" s="10">
        <v>2023.0</v>
      </c>
      <c r="G673" s="10"/>
    </row>
    <row r="674">
      <c r="A674" s="7">
        <v>44944.0</v>
      </c>
      <c r="B674" s="8" t="s">
        <v>35</v>
      </c>
      <c r="C674" s="9">
        <v>908.0</v>
      </c>
      <c r="D674" s="10">
        <v>3.0</v>
      </c>
      <c r="E674" s="10">
        <v>146.0</v>
      </c>
      <c r="F674" s="10">
        <v>2023.0</v>
      </c>
      <c r="G674" s="10"/>
    </row>
    <row r="675">
      <c r="A675" s="7">
        <v>44944.0</v>
      </c>
      <c r="B675" s="8" t="s">
        <v>41</v>
      </c>
      <c r="C675" s="9">
        <v>465.0</v>
      </c>
      <c r="D675" s="10">
        <v>3.0</v>
      </c>
      <c r="E675" s="10">
        <v>146.0</v>
      </c>
      <c r="F675" s="10">
        <v>2023.0</v>
      </c>
      <c r="G675" s="10"/>
    </row>
    <row r="676">
      <c r="A676" s="7">
        <v>44944.0</v>
      </c>
      <c r="B676" s="8" t="s">
        <v>36</v>
      </c>
      <c r="C676" s="11">
        <v>1243.0</v>
      </c>
      <c r="D676" s="10">
        <v>3.0</v>
      </c>
      <c r="E676" s="10">
        <v>146.0</v>
      </c>
      <c r="F676" s="10">
        <v>2023.0</v>
      </c>
      <c r="G676" s="10"/>
    </row>
    <row r="677">
      <c r="A677" s="7">
        <v>44944.0</v>
      </c>
      <c r="B677" s="8" t="s">
        <v>37</v>
      </c>
      <c r="C677" s="11">
        <v>1614.0</v>
      </c>
      <c r="D677" s="10">
        <v>3.0</v>
      </c>
      <c r="E677" s="10">
        <v>146.0</v>
      </c>
      <c r="F677" s="10">
        <v>2023.0</v>
      </c>
      <c r="G677" s="10"/>
    </row>
    <row r="678">
      <c r="A678" s="7">
        <v>44944.0</v>
      </c>
      <c r="B678" s="8" t="s">
        <v>49</v>
      </c>
      <c r="C678" s="9">
        <v>490.0</v>
      </c>
      <c r="D678" s="10">
        <v>3.0</v>
      </c>
      <c r="E678" s="10">
        <v>146.0</v>
      </c>
      <c r="F678" s="10">
        <v>2023.0</v>
      </c>
      <c r="G678" s="10"/>
    </row>
    <row r="679">
      <c r="A679" s="7">
        <v>44944.0</v>
      </c>
      <c r="B679" s="8" t="s">
        <v>44</v>
      </c>
      <c r="C679" s="9">
        <v>627.0</v>
      </c>
      <c r="D679" s="10">
        <v>3.0</v>
      </c>
      <c r="E679" s="10">
        <v>146.0</v>
      </c>
      <c r="F679" s="10">
        <v>2023.0</v>
      </c>
      <c r="G679" s="10"/>
    </row>
    <row r="680">
      <c r="A680" s="7">
        <v>44944.0</v>
      </c>
      <c r="B680" s="8" t="s">
        <v>38</v>
      </c>
      <c r="C680" s="9">
        <v>290.0</v>
      </c>
      <c r="D680" s="10">
        <v>3.0</v>
      </c>
      <c r="E680" s="10">
        <v>146.0</v>
      </c>
      <c r="F680" s="10">
        <v>2023.0</v>
      </c>
      <c r="G680" s="10"/>
    </row>
    <row r="681">
      <c r="A681" s="7">
        <v>44944.0</v>
      </c>
      <c r="B681" s="8" t="s">
        <v>40</v>
      </c>
      <c r="C681" s="9">
        <v>603.0</v>
      </c>
      <c r="D681" s="10">
        <v>3.0</v>
      </c>
      <c r="E681" s="10">
        <v>146.0</v>
      </c>
      <c r="F681" s="10">
        <v>2023.0</v>
      </c>
      <c r="G681" s="10"/>
    </row>
    <row r="682">
      <c r="A682" s="7">
        <v>44944.0</v>
      </c>
      <c r="B682" s="8" t="s">
        <v>43</v>
      </c>
      <c r="C682" s="9">
        <v>148.0</v>
      </c>
      <c r="D682" s="10">
        <v>3.0</v>
      </c>
      <c r="E682" s="10">
        <v>146.0</v>
      </c>
      <c r="F682" s="10">
        <v>2023.0</v>
      </c>
      <c r="G682" s="10"/>
    </row>
    <row r="683">
      <c r="A683" s="7">
        <v>44951.0</v>
      </c>
      <c r="B683" s="8" t="s">
        <v>35</v>
      </c>
      <c r="C683" s="11">
        <v>1025.0</v>
      </c>
      <c r="D683" s="10">
        <v>4.0</v>
      </c>
      <c r="E683" s="10">
        <v>147.0</v>
      </c>
      <c r="F683" s="10">
        <v>2023.0</v>
      </c>
      <c r="G683" s="10"/>
    </row>
    <row r="684">
      <c r="A684" s="7">
        <v>44951.0</v>
      </c>
      <c r="B684" s="8" t="s">
        <v>41</v>
      </c>
      <c r="C684" s="9">
        <v>345.0</v>
      </c>
      <c r="D684" s="10">
        <v>4.0</v>
      </c>
      <c r="E684" s="10">
        <v>147.0</v>
      </c>
      <c r="F684" s="10">
        <v>2023.0</v>
      </c>
      <c r="G684" s="10"/>
    </row>
    <row r="685">
      <c r="A685" s="7">
        <v>44951.0</v>
      </c>
      <c r="B685" s="8" t="s">
        <v>36</v>
      </c>
      <c r="C685" s="11">
        <v>2023.0</v>
      </c>
      <c r="D685" s="10">
        <v>4.0</v>
      </c>
      <c r="E685" s="10">
        <v>147.0</v>
      </c>
      <c r="F685" s="10">
        <v>2023.0</v>
      </c>
      <c r="G685" s="10"/>
    </row>
    <row r="686">
      <c r="A686" s="7">
        <v>44951.0</v>
      </c>
      <c r="B686" s="8" t="s">
        <v>37</v>
      </c>
      <c r="C686" s="11">
        <v>1465.0</v>
      </c>
      <c r="D686" s="10">
        <v>4.0</v>
      </c>
      <c r="E686" s="10">
        <v>147.0</v>
      </c>
      <c r="F686" s="10">
        <v>2023.0</v>
      </c>
      <c r="G686" s="10"/>
    </row>
    <row r="687">
      <c r="A687" s="7">
        <v>44951.0</v>
      </c>
      <c r="B687" s="8" t="s">
        <v>49</v>
      </c>
      <c r="C687" s="9">
        <v>300.0</v>
      </c>
      <c r="D687" s="10">
        <v>4.0</v>
      </c>
      <c r="E687" s="10">
        <v>147.0</v>
      </c>
      <c r="F687" s="10">
        <v>2023.0</v>
      </c>
      <c r="G687" s="10"/>
    </row>
    <row r="688">
      <c r="A688" s="7">
        <v>44951.0</v>
      </c>
      <c r="B688" s="8" t="s">
        <v>44</v>
      </c>
      <c r="C688" s="9">
        <v>605.0</v>
      </c>
      <c r="D688" s="10">
        <v>4.0</v>
      </c>
      <c r="E688" s="10">
        <v>147.0</v>
      </c>
      <c r="F688" s="10">
        <v>2023.0</v>
      </c>
      <c r="G688" s="10"/>
    </row>
    <row r="689">
      <c r="A689" s="7">
        <v>44951.0</v>
      </c>
      <c r="B689" s="8" t="s">
        <v>38</v>
      </c>
      <c r="C689" s="9">
        <v>514.0</v>
      </c>
      <c r="D689" s="10">
        <v>4.0</v>
      </c>
      <c r="E689" s="10">
        <v>147.0</v>
      </c>
      <c r="F689" s="10">
        <v>2023.0</v>
      </c>
      <c r="G689" s="10"/>
    </row>
    <row r="690">
      <c r="A690" s="7">
        <v>44951.0</v>
      </c>
      <c r="B690" s="8" t="s">
        <v>40</v>
      </c>
      <c r="C690" s="9">
        <v>710.0</v>
      </c>
      <c r="D690" s="10">
        <v>4.0</v>
      </c>
      <c r="E690" s="10">
        <v>147.0</v>
      </c>
      <c r="F690" s="10">
        <v>2023.0</v>
      </c>
      <c r="G690" s="10"/>
    </row>
    <row r="691">
      <c r="A691" s="7">
        <v>44951.0</v>
      </c>
      <c r="B691" s="8" t="s">
        <v>43</v>
      </c>
      <c r="C691" s="9">
        <v>166.0</v>
      </c>
      <c r="D691" s="10">
        <v>4.0</v>
      </c>
      <c r="E691" s="10">
        <v>147.0</v>
      </c>
      <c r="F691" s="10">
        <v>2023.0</v>
      </c>
      <c r="G691" s="10"/>
    </row>
    <row r="692">
      <c r="A692" s="7">
        <v>44958.0</v>
      </c>
      <c r="B692" s="8" t="s">
        <v>35</v>
      </c>
      <c r="C692" s="11">
        <v>1471.0</v>
      </c>
      <c r="D692" s="10">
        <v>5.0</v>
      </c>
      <c r="E692" s="10">
        <v>148.0</v>
      </c>
      <c r="F692" s="10">
        <v>2023.0</v>
      </c>
      <c r="G692" s="10"/>
    </row>
    <row r="693">
      <c r="A693" s="7">
        <v>44958.0</v>
      </c>
      <c r="B693" s="8" t="s">
        <v>41</v>
      </c>
      <c r="C693" s="9">
        <v>230.0</v>
      </c>
      <c r="D693" s="10">
        <v>5.0</v>
      </c>
      <c r="E693" s="10">
        <v>148.0</v>
      </c>
      <c r="F693" s="10">
        <v>2023.0</v>
      </c>
      <c r="G693" s="10"/>
    </row>
    <row r="694">
      <c r="A694" s="7">
        <v>44958.0</v>
      </c>
      <c r="B694" s="8" t="s">
        <v>36</v>
      </c>
      <c r="C694" s="11">
        <v>1461.0</v>
      </c>
      <c r="D694" s="10">
        <v>5.0</v>
      </c>
      <c r="E694" s="10">
        <v>148.0</v>
      </c>
      <c r="F694" s="10">
        <v>2023.0</v>
      </c>
      <c r="G694" s="10"/>
    </row>
    <row r="695">
      <c r="A695" s="7">
        <v>44958.0</v>
      </c>
      <c r="B695" s="8" t="s">
        <v>37</v>
      </c>
      <c r="C695" s="11">
        <v>2096.0</v>
      </c>
      <c r="D695" s="10">
        <v>5.0</v>
      </c>
      <c r="E695" s="10">
        <v>148.0</v>
      </c>
      <c r="F695" s="10">
        <v>2023.0</v>
      </c>
      <c r="G695" s="10"/>
    </row>
    <row r="696">
      <c r="A696" s="7">
        <v>44958.0</v>
      </c>
      <c r="B696" s="8" t="s">
        <v>49</v>
      </c>
      <c r="C696" s="9">
        <v>219.0</v>
      </c>
      <c r="D696" s="10">
        <v>5.0</v>
      </c>
      <c r="E696" s="10">
        <v>148.0</v>
      </c>
      <c r="F696" s="10">
        <v>2023.0</v>
      </c>
      <c r="G696" s="10"/>
    </row>
    <row r="697">
      <c r="A697" s="7">
        <v>44958.0</v>
      </c>
      <c r="B697" s="8" t="s">
        <v>34</v>
      </c>
      <c r="C697" s="11">
        <v>2998.0</v>
      </c>
      <c r="D697" s="10">
        <v>5.0</v>
      </c>
      <c r="E697" s="10">
        <v>148.0</v>
      </c>
      <c r="F697" s="10">
        <v>2023.0</v>
      </c>
      <c r="G697" s="10"/>
    </row>
    <row r="698">
      <c r="A698" s="7">
        <v>44958.0</v>
      </c>
      <c r="B698" s="8" t="s">
        <v>44</v>
      </c>
      <c r="C698" s="9">
        <v>762.0</v>
      </c>
      <c r="D698" s="10">
        <v>5.0</v>
      </c>
      <c r="E698" s="10">
        <v>148.0</v>
      </c>
      <c r="F698" s="10">
        <v>2023.0</v>
      </c>
      <c r="G698" s="10"/>
    </row>
    <row r="699">
      <c r="A699" s="7">
        <v>44958.0</v>
      </c>
      <c r="B699" s="8" t="s">
        <v>38</v>
      </c>
      <c r="C699" s="9">
        <v>496.0</v>
      </c>
      <c r="D699" s="10">
        <v>5.0</v>
      </c>
      <c r="E699" s="10">
        <v>148.0</v>
      </c>
      <c r="F699" s="10">
        <v>2023.0</v>
      </c>
      <c r="G699" s="10"/>
    </row>
    <row r="700">
      <c r="A700" s="7">
        <v>44958.0</v>
      </c>
      <c r="B700" s="8" t="s">
        <v>40</v>
      </c>
      <c r="C700" s="9">
        <v>988.0</v>
      </c>
      <c r="D700" s="10">
        <v>5.0</v>
      </c>
      <c r="E700" s="10">
        <v>148.0</v>
      </c>
      <c r="F700" s="10">
        <v>2023.0</v>
      </c>
      <c r="G700" s="10"/>
    </row>
    <row r="701">
      <c r="A701" s="7">
        <v>44958.0</v>
      </c>
      <c r="B701" s="8" t="s">
        <v>43</v>
      </c>
      <c r="C701" s="9">
        <v>183.0</v>
      </c>
      <c r="D701" s="10">
        <v>5.0</v>
      </c>
      <c r="E701" s="10">
        <v>148.0</v>
      </c>
      <c r="F701" s="10">
        <v>2023.0</v>
      </c>
      <c r="G701" s="10"/>
    </row>
    <row r="702">
      <c r="A702" s="7">
        <v>44965.0</v>
      </c>
      <c r="B702" s="8" t="s">
        <v>35</v>
      </c>
      <c r="C702" s="11">
        <v>1889.0</v>
      </c>
      <c r="D702" s="10">
        <v>6.0</v>
      </c>
      <c r="E702" s="10">
        <v>149.0</v>
      </c>
      <c r="F702" s="10">
        <v>2023.0</v>
      </c>
      <c r="G702" s="10"/>
    </row>
    <row r="703">
      <c r="A703" s="7">
        <v>44965.0</v>
      </c>
      <c r="B703" s="8" t="s">
        <v>41</v>
      </c>
      <c r="C703" s="9">
        <v>140.0</v>
      </c>
      <c r="D703" s="10">
        <v>6.0</v>
      </c>
      <c r="E703" s="10">
        <v>149.0</v>
      </c>
      <c r="F703" s="10">
        <v>2023.0</v>
      </c>
      <c r="G703" s="10"/>
    </row>
    <row r="704">
      <c r="A704" s="7">
        <v>44965.0</v>
      </c>
      <c r="B704" s="8" t="s">
        <v>36</v>
      </c>
      <c r="C704" s="11">
        <v>1488.0</v>
      </c>
      <c r="D704" s="10">
        <v>6.0</v>
      </c>
      <c r="E704" s="10">
        <v>149.0</v>
      </c>
      <c r="F704" s="10">
        <v>2023.0</v>
      </c>
      <c r="G704" s="10"/>
    </row>
    <row r="705">
      <c r="A705" s="7">
        <v>44965.0</v>
      </c>
      <c r="B705" s="8" t="s">
        <v>37</v>
      </c>
      <c r="C705" s="9">
        <v>872.0</v>
      </c>
      <c r="D705" s="10">
        <v>6.0</v>
      </c>
      <c r="E705" s="10">
        <v>149.0</v>
      </c>
      <c r="F705" s="10">
        <v>2023.0</v>
      </c>
      <c r="G705" s="10"/>
    </row>
    <row r="706">
      <c r="A706" s="7">
        <v>44965.0</v>
      </c>
      <c r="B706" s="8" t="s">
        <v>44</v>
      </c>
      <c r="C706" s="11">
        <v>1176.0</v>
      </c>
      <c r="D706" s="10">
        <v>6.0</v>
      </c>
      <c r="E706" s="10">
        <v>149.0</v>
      </c>
      <c r="F706" s="10">
        <v>2023.0</v>
      </c>
      <c r="G706" s="10"/>
    </row>
    <row r="707">
      <c r="A707" s="7">
        <v>44965.0</v>
      </c>
      <c r="B707" s="8" t="s">
        <v>40</v>
      </c>
      <c r="C707" s="9">
        <v>531.0</v>
      </c>
      <c r="D707" s="10">
        <v>6.0</v>
      </c>
      <c r="E707" s="10">
        <v>149.0</v>
      </c>
      <c r="F707" s="10">
        <v>2023.0</v>
      </c>
      <c r="G707" s="10"/>
    </row>
    <row r="708">
      <c r="A708" s="7">
        <v>44965.0</v>
      </c>
      <c r="B708" s="8" t="s">
        <v>43</v>
      </c>
      <c r="C708" s="9">
        <v>187.0</v>
      </c>
      <c r="D708" s="10">
        <v>6.0</v>
      </c>
      <c r="E708" s="10">
        <v>149.0</v>
      </c>
      <c r="F708" s="10">
        <v>2023.0</v>
      </c>
      <c r="G708" s="10"/>
    </row>
    <row r="709">
      <c r="A709" s="7">
        <v>44972.0</v>
      </c>
      <c r="B709" s="8" t="s">
        <v>35</v>
      </c>
      <c r="C709" s="11">
        <v>2637.0</v>
      </c>
      <c r="D709" s="10">
        <v>7.0</v>
      </c>
      <c r="E709" s="10">
        <v>150.0</v>
      </c>
      <c r="F709" s="10">
        <v>2023.0</v>
      </c>
      <c r="G709" s="10"/>
    </row>
    <row r="710">
      <c r="A710" s="7">
        <v>44972.0</v>
      </c>
      <c r="B710" s="8" t="s">
        <v>41</v>
      </c>
      <c r="C710" s="9">
        <v>269.0</v>
      </c>
      <c r="D710" s="10">
        <v>7.0</v>
      </c>
      <c r="E710" s="10">
        <v>150.0</v>
      </c>
      <c r="F710" s="10">
        <v>2023.0</v>
      </c>
      <c r="G710" s="10"/>
    </row>
    <row r="711">
      <c r="A711" s="7">
        <v>44972.0</v>
      </c>
      <c r="B711" s="8" t="s">
        <v>36</v>
      </c>
      <c r="C711" s="11">
        <v>2342.0</v>
      </c>
      <c r="D711" s="10">
        <v>7.0</v>
      </c>
      <c r="E711" s="10">
        <v>150.0</v>
      </c>
      <c r="F711" s="10">
        <v>2023.0</v>
      </c>
      <c r="G711" s="10"/>
    </row>
    <row r="712">
      <c r="A712" s="7">
        <v>44972.0</v>
      </c>
      <c r="B712" s="8" t="s">
        <v>37</v>
      </c>
      <c r="C712" s="11">
        <v>1292.0</v>
      </c>
      <c r="D712" s="10">
        <v>7.0</v>
      </c>
      <c r="E712" s="10">
        <v>150.0</v>
      </c>
      <c r="F712" s="10">
        <v>2023.0</v>
      </c>
      <c r="G712" s="10"/>
    </row>
    <row r="713">
      <c r="A713" s="7">
        <v>44972.0</v>
      </c>
      <c r="B713" s="8" t="s">
        <v>49</v>
      </c>
      <c r="C713" s="9">
        <v>305.0</v>
      </c>
      <c r="D713" s="10">
        <v>7.0</v>
      </c>
      <c r="E713" s="10">
        <v>150.0</v>
      </c>
      <c r="F713" s="10">
        <v>2023.0</v>
      </c>
      <c r="G713" s="10"/>
    </row>
    <row r="714">
      <c r="A714" s="7">
        <v>44972.0</v>
      </c>
      <c r="B714" s="8" t="s">
        <v>34</v>
      </c>
      <c r="C714" s="11">
        <v>4485.0</v>
      </c>
      <c r="D714" s="10">
        <v>7.0</v>
      </c>
      <c r="E714" s="10">
        <v>150.0</v>
      </c>
      <c r="F714" s="10">
        <v>2023.0</v>
      </c>
      <c r="G714" s="10"/>
    </row>
    <row r="715">
      <c r="A715" s="7">
        <v>44972.0</v>
      </c>
      <c r="B715" s="8" t="s">
        <v>44</v>
      </c>
      <c r="C715" s="9">
        <v>855.0</v>
      </c>
      <c r="D715" s="10">
        <v>7.0</v>
      </c>
      <c r="E715" s="10">
        <v>150.0</v>
      </c>
      <c r="F715" s="10">
        <v>2023.0</v>
      </c>
      <c r="G715" s="10"/>
    </row>
    <row r="716">
      <c r="A716" s="7">
        <v>44972.0</v>
      </c>
      <c r="B716" s="8" t="s">
        <v>40</v>
      </c>
      <c r="C716" s="9">
        <v>479.0</v>
      </c>
      <c r="D716" s="10">
        <v>7.0</v>
      </c>
      <c r="E716" s="10">
        <v>150.0</v>
      </c>
      <c r="F716" s="10">
        <v>2023.0</v>
      </c>
      <c r="G716" s="10"/>
    </row>
    <row r="717">
      <c r="A717" s="7">
        <v>44972.0</v>
      </c>
      <c r="B717" s="8" t="s">
        <v>43</v>
      </c>
      <c r="C717" s="9">
        <v>191.0</v>
      </c>
      <c r="D717" s="10">
        <v>7.0</v>
      </c>
      <c r="E717" s="10">
        <v>150.0</v>
      </c>
      <c r="F717" s="10">
        <v>2023.0</v>
      </c>
      <c r="G717" s="10"/>
    </row>
    <row r="718">
      <c r="A718" s="7">
        <v>44979.0</v>
      </c>
      <c r="B718" s="8" t="s">
        <v>35</v>
      </c>
      <c r="C718" s="11">
        <v>2195.0</v>
      </c>
      <c r="D718" s="10">
        <v>8.0</v>
      </c>
      <c r="E718" s="10">
        <v>151.0</v>
      </c>
      <c r="F718" s="10">
        <v>2023.0</v>
      </c>
      <c r="G718" s="10"/>
    </row>
    <row r="719">
      <c r="A719" s="7">
        <v>44979.0</v>
      </c>
      <c r="B719" s="8" t="s">
        <v>41</v>
      </c>
      <c r="C719" s="9">
        <v>72.0</v>
      </c>
      <c r="D719" s="10">
        <v>8.0</v>
      </c>
      <c r="E719" s="10">
        <v>151.0</v>
      </c>
      <c r="F719" s="10">
        <v>2023.0</v>
      </c>
      <c r="G719" s="10"/>
    </row>
    <row r="720">
      <c r="A720" s="7">
        <v>44979.0</v>
      </c>
      <c r="B720" s="8" t="s">
        <v>36</v>
      </c>
      <c r="C720" s="11">
        <v>2462.0</v>
      </c>
      <c r="D720" s="10">
        <v>8.0</v>
      </c>
      <c r="E720" s="10">
        <v>151.0</v>
      </c>
      <c r="F720" s="10">
        <v>2023.0</v>
      </c>
      <c r="G720" s="10"/>
    </row>
    <row r="721">
      <c r="A721" s="7">
        <v>44979.0</v>
      </c>
      <c r="B721" s="8" t="s">
        <v>37</v>
      </c>
      <c r="C721" s="11">
        <v>1513.0</v>
      </c>
      <c r="D721" s="10">
        <v>8.0</v>
      </c>
      <c r="E721" s="10">
        <v>151.0</v>
      </c>
      <c r="F721" s="10">
        <v>2023.0</v>
      </c>
      <c r="G721" s="10"/>
    </row>
    <row r="722">
      <c r="A722" s="7">
        <v>44979.0</v>
      </c>
      <c r="B722" s="8" t="s">
        <v>49</v>
      </c>
      <c r="C722" s="11">
        <v>1230.0</v>
      </c>
      <c r="D722" s="10">
        <v>8.0</v>
      </c>
      <c r="E722" s="10">
        <v>151.0</v>
      </c>
      <c r="F722" s="10">
        <v>2023.0</v>
      </c>
      <c r="G722" s="10"/>
    </row>
    <row r="723">
      <c r="A723" s="7">
        <v>44979.0</v>
      </c>
      <c r="B723" s="8" t="s">
        <v>34</v>
      </c>
      <c r="C723" s="9">
        <v>200.0</v>
      </c>
      <c r="D723" s="10">
        <v>8.0</v>
      </c>
      <c r="E723" s="10">
        <v>151.0</v>
      </c>
      <c r="F723" s="10">
        <v>2023.0</v>
      </c>
      <c r="G723" s="10"/>
    </row>
    <row r="724">
      <c r="A724" s="7">
        <v>44979.0</v>
      </c>
      <c r="B724" s="8" t="s">
        <v>44</v>
      </c>
      <c r="C724" s="9">
        <v>792.0</v>
      </c>
      <c r="D724" s="10">
        <v>8.0</v>
      </c>
      <c r="E724" s="10">
        <v>151.0</v>
      </c>
      <c r="F724" s="10">
        <v>2023.0</v>
      </c>
      <c r="G724" s="10"/>
    </row>
    <row r="725">
      <c r="A725" s="7">
        <v>44979.0</v>
      </c>
      <c r="B725" s="8" t="s">
        <v>40</v>
      </c>
      <c r="C725" s="9">
        <v>618.0</v>
      </c>
      <c r="D725" s="10">
        <v>8.0</v>
      </c>
      <c r="E725" s="10">
        <v>151.0</v>
      </c>
      <c r="F725" s="10">
        <v>2023.0</v>
      </c>
      <c r="G725" s="10"/>
    </row>
    <row r="726">
      <c r="A726" s="7">
        <v>44979.0</v>
      </c>
      <c r="B726" s="8" t="s">
        <v>43</v>
      </c>
      <c r="C726" s="9">
        <v>103.0</v>
      </c>
      <c r="D726" s="10">
        <v>8.0</v>
      </c>
      <c r="E726" s="10">
        <v>151.0</v>
      </c>
      <c r="F726" s="10">
        <v>2023.0</v>
      </c>
      <c r="G726" s="10"/>
    </row>
    <row r="727">
      <c r="A727" s="7">
        <v>44986.0</v>
      </c>
      <c r="B727" s="8" t="s">
        <v>35</v>
      </c>
      <c r="C727" s="11">
        <v>1251.0</v>
      </c>
      <c r="D727" s="10">
        <v>9.0</v>
      </c>
      <c r="E727" s="10">
        <v>152.0</v>
      </c>
      <c r="F727" s="10">
        <v>2023.0</v>
      </c>
      <c r="G727" s="10"/>
    </row>
    <row r="728">
      <c r="A728" s="7">
        <v>44986.0</v>
      </c>
      <c r="B728" s="8" t="s">
        <v>41</v>
      </c>
      <c r="C728" s="9">
        <v>498.0</v>
      </c>
      <c r="D728" s="10">
        <v>9.0</v>
      </c>
      <c r="E728" s="10">
        <v>152.0</v>
      </c>
      <c r="F728" s="10">
        <v>2023.0</v>
      </c>
      <c r="G728" s="10"/>
    </row>
    <row r="729">
      <c r="A729" s="7">
        <v>44986.0</v>
      </c>
      <c r="B729" s="8" t="s">
        <v>36</v>
      </c>
      <c r="C729" s="11">
        <v>2243.0</v>
      </c>
      <c r="D729" s="10">
        <v>9.0</v>
      </c>
      <c r="E729" s="10">
        <v>152.0</v>
      </c>
      <c r="F729" s="10">
        <v>2023.0</v>
      </c>
      <c r="G729" s="10"/>
    </row>
    <row r="730">
      <c r="A730" s="7">
        <v>44986.0</v>
      </c>
      <c r="B730" s="8" t="s">
        <v>37</v>
      </c>
      <c r="C730" s="9">
        <v>885.0</v>
      </c>
      <c r="D730" s="10">
        <v>9.0</v>
      </c>
      <c r="E730" s="10">
        <v>152.0</v>
      </c>
      <c r="F730" s="10">
        <v>2023.0</v>
      </c>
      <c r="G730" s="10"/>
    </row>
    <row r="731">
      <c r="A731" s="7">
        <v>44986.0</v>
      </c>
      <c r="B731" s="8" t="s">
        <v>49</v>
      </c>
      <c r="C731" s="9">
        <v>436.0</v>
      </c>
      <c r="D731" s="10">
        <v>9.0</v>
      </c>
      <c r="E731" s="10">
        <v>152.0</v>
      </c>
      <c r="F731" s="10">
        <v>2023.0</v>
      </c>
      <c r="G731" s="10"/>
    </row>
    <row r="732">
      <c r="A732" s="7">
        <v>44986.0</v>
      </c>
      <c r="B732" s="8" t="s">
        <v>44</v>
      </c>
      <c r="C732" s="9">
        <v>350.0</v>
      </c>
      <c r="D732" s="10">
        <v>9.0</v>
      </c>
      <c r="E732" s="10">
        <v>152.0</v>
      </c>
      <c r="F732" s="10">
        <v>2023.0</v>
      </c>
      <c r="G732" s="10"/>
    </row>
    <row r="733">
      <c r="A733" s="7">
        <v>44986.0</v>
      </c>
      <c r="B733" s="8" t="s">
        <v>40</v>
      </c>
      <c r="C733" s="9">
        <v>958.0</v>
      </c>
      <c r="D733" s="10">
        <v>9.0</v>
      </c>
      <c r="E733" s="10">
        <v>152.0</v>
      </c>
      <c r="F733" s="10">
        <v>2023.0</v>
      </c>
      <c r="G733" s="10"/>
    </row>
    <row r="734">
      <c r="A734" s="7">
        <v>44986.0</v>
      </c>
      <c r="B734" s="8" t="s">
        <v>43</v>
      </c>
      <c r="C734" s="9">
        <v>159.0</v>
      </c>
      <c r="D734" s="10">
        <v>9.0</v>
      </c>
      <c r="E734" s="10">
        <v>152.0</v>
      </c>
      <c r="F734" s="10">
        <v>2023.0</v>
      </c>
      <c r="G734" s="10"/>
    </row>
    <row r="735">
      <c r="A735" s="7">
        <v>44993.0</v>
      </c>
      <c r="B735" s="8" t="s">
        <v>35</v>
      </c>
      <c r="C735" s="11">
        <v>1334.0</v>
      </c>
      <c r="D735" s="10">
        <v>10.0</v>
      </c>
      <c r="E735" s="10">
        <v>153.0</v>
      </c>
      <c r="F735" s="10">
        <v>2023.0</v>
      </c>
      <c r="G735" s="10"/>
    </row>
    <row r="736">
      <c r="A736" s="7">
        <v>44993.0</v>
      </c>
      <c r="B736" s="8" t="s">
        <v>41</v>
      </c>
      <c r="C736" s="9">
        <v>220.0</v>
      </c>
      <c r="D736" s="10">
        <v>10.0</v>
      </c>
      <c r="E736" s="10">
        <v>153.0</v>
      </c>
      <c r="F736" s="10">
        <v>2023.0</v>
      </c>
      <c r="G736" s="10"/>
    </row>
    <row r="737">
      <c r="A737" s="7">
        <v>44993.0</v>
      </c>
      <c r="B737" s="8" t="s">
        <v>36</v>
      </c>
      <c r="C737" s="11">
        <v>2572.0</v>
      </c>
      <c r="D737" s="10">
        <v>10.0</v>
      </c>
      <c r="E737" s="10">
        <v>153.0</v>
      </c>
      <c r="F737" s="10">
        <v>2023.0</v>
      </c>
      <c r="G737" s="10"/>
    </row>
    <row r="738">
      <c r="A738" s="7">
        <v>44993.0</v>
      </c>
      <c r="B738" s="8" t="s">
        <v>37</v>
      </c>
      <c r="C738" s="11">
        <v>1075.0</v>
      </c>
      <c r="D738" s="10">
        <v>10.0</v>
      </c>
      <c r="E738" s="10">
        <v>153.0</v>
      </c>
      <c r="F738" s="10">
        <v>2023.0</v>
      </c>
      <c r="G738" s="10"/>
    </row>
    <row r="739">
      <c r="A739" s="7">
        <v>44993.0</v>
      </c>
      <c r="B739" s="8" t="s">
        <v>49</v>
      </c>
      <c r="C739" s="9">
        <v>536.0</v>
      </c>
      <c r="D739" s="10">
        <v>10.0</v>
      </c>
      <c r="E739" s="10">
        <v>153.0</v>
      </c>
      <c r="F739" s="10">
        <v>2023.0</v>
      </c>
      <c r="G739" s="10"/>
    </row>
    <row r="740">
      <c r="A740" s="7">
        <v>44993.0</v>
      </c>
      <c r="B740" s="8" t="s">
        <v>50</v>
      </c>
      <c r="C740" s="13">
        <v>6593.0</v>
      </c>
      <c r="D740" s="10">
        <v>10.0</v>
      </c>
      <c r="E740" s="10">
        <v>153.0</v>
      </c>
      <c r="F740" s="10">
        <v>2023.0</v>
      </c>
      <c r="G740" s="10"/>
    </row>
    <row r="741">
      <c r="A741" s="7">
        <v>44993.0</v>
      </c>
      <c r="B741" s="8" t="s">
        <v>44</v>
      </c>
      <c r="C741" s="9">
        <v>326.0</v>
      </c>
      <c r="D741" s="10">
        <v>10.0</v>
      </c>
      <c r="E741" s="10">
        <v>153.0</v>
      </c>
      <c r="F741" s="10">
        <v>2023.0</v>
      </c>
      <c r="G741" s="10"/>
    </row>
    <row r="742">
      <c r="A742" s="7">
        <v>44993.0</v>
      </c>
      <c r="B742" s="8" t="s">
        <v>40</v>
      </c>
      <c r="C742" s="9">
        <v>313.0</v>
      </c>
      <c r="D742" s="10">
        <v>10.0</v>
      </c>
      <c r="E742" s="10">
        <v>153.0</v>
      </c>
      <c r="F742" s="10">
        <v>2023.0</v>
      </c>
      <c r="G742" s="10"/>
    </row>
    <row r="743">
      <c r="A743" s="7">
        <v>44993.0</v>
      </c>
      <c r="B743" s="8" t="s">
        <v>43</v>
      </c>
      <c r="C743" s="9">
        <v>217.0</v>
      </c>
      <c r="D743" s="10">
        <v>10.0</v>
      </c>
      <c r="E743" s="10">
        <v>153.0</v>
      </c>
      <c r="F743" s="10">
        <v>2023.0</v>
      </c>
      <c r="G743" s="10"/>
    </row>
    <row r="744">
      <c r="A744" s="7">
        <v>45007.0</v>
      </c>
      <c r="B744" s="8" t="s">
        <v>35</v>
      </c>
      <c r="C744" s="11">
        <v>3005.0</v>
      </c>
      <c r="D744" s="10">
        <v>12.0</v>
      </c>
      <c r="E744" s="10">
        <v>155.0</v>
      </c>
      <c r="F744" s="10">
        <v>2023.0</v>
      </c>
      <c r="G744" s="10"/>
    </row>
    <row r="745">
      <c r="A745" s="7">
        <v>45007.0</v>
      </c>
      <c r="B745" s="8" t="s">
        <v>41</v>
      </c>
      <c r="C745" s="9">
        <v>433.0</v>
      </c>
      <c r="D745" s="10">
        <v>12.0</v>
      </c>
      <c r="E745" s="10">
        <v>155.0</v>
      </c>
      <c r="F745" s="10">
        <v>2023.0</v>
      </c>
      <c r="G745" s="10"/>
    </row>
    <row r="746">
      <c r="A746" s="7">
        <v>45007.0</v>
      </c>
      <c r="B746" s="8" t="s">
        <v>36</v>
      </c>
      <c r="C746" s="11">
        <v>2775.0</v>
      </c>
      <c r="D746" s="10">
        <v>12.0</v>
      </c>
      <c r="E746" s="10">
        <v>155.0</v>
      </c>
      <c r="F746" s="10">
        <v>2023.0</v>
      </c>
      <c r="G746" s="10"/>
    </row>
    <row r="747">
      <c r="A747" s="7">
        <v>45007.0</v>
      </c>
      <c r="B747" s="8" t="s">
        <v>37</v>
      </c>
      <c r="C747" s="9">
        <v>882.0</v>
      </c>
      <c r="D747" s="10">
        <v>12.0</v>
      </c>
      <c r="E747" s="10">
        <v>155.0</v>
      </c>
      <c r="F747" s="10">
        <v>2023.0</v>
      </c>
      <c r="G747" s="10"/>
    </row>
    <row r="748">
      <c r="A748" s="7">
        <v>45007.0</v>
      </c>
      <c r="B748" s="8" t="s">
        <v>49</v>
      </c>
      <c r="C748" s="9">
        <v>371.0</v>
      </c>
      <c r="D748" s="10">
        <v>12.0</v>
      </c>
      <c r="E748" s="10">
        <v>155.0</v>
      </c>
      <c r="F748" s="10">
        <v>2023.0</v>
      </c>
      <c r="G748" s="10"/>
    </row>
    <row r="749">
      <c r="A749" s="7">
        <v>45007.0</v>
      </c>
      <c r="B749" s="8" t="s">
        <v>44</v>
      </c>
      <c r="C749" s="9">
        <v>279.0</v>
      </c>
      <c r="D749" s="10">
        <v>12.0</v>
      </c>
      <c r="E749" s="10">
        <v>155.0</v>
      </c>
      <c r="F749" s="10">
        <v>2023.0</v>
      </c>
      <c r="G749" s="10"/>
    </row>
    <row r="750">
      <c r="A750" s="7">
        <v>45007.0</v>
      </c>
      <c r="B750" s="8" t="s">
        <v>40</v>
      </c>
      <c r="C750" s="9">
        <v>747.0</v>
      </c>
      <c r="D750" s="10">
        <v>12.0</v>
      </c>
      <c r="E750" s="10">
        <v>155.0</v>
      </c>
      <c r="F750" s="10">
        <v>2023.0</v>
      </c>
      <c r="G750" s="10"/>
    </row>
    <row r="751">
      <c r="A751" s="7">
        <v>45007.0</v>
      </c>
      <c r="B751" s="8" t="s">
        <v>43</v>
      </c>
      <c r="C751" s="9">
        <v>189.0</v>
      </c>
      <c r="D751" s="10">
        <v>12.0</v>
      </c>
      <c r="E751" s="10">
        <v>155.0</v>
      </c>
      <c r="F751" s="10">
        <v>2023.0</v>
      </c>
      <c r="G751" s="10"/>
    </row>
    <row r="752">
      <c r="A752" s="7">
        <v>45014.0</v>
      </c>
      <c r="B752" s="8" t="s">
        <v>35</v>
      </c>
      <c r="C752" s="9">
        <v>702.0</v>
      </c>
      <c r="D752" s="10">
        <v>13.0</v>
      </c>
      <c r="E752" s="10">
        <v>156.0</v>
      </c>
      <c r="F752" s="10">
        <v>2023.0</v>
      </c>
      <c r="G752" s="10"/>
    </row>
    <row r="753">
      <c r="A753" s="7">
        <v>45014.0</v>
      </c>
      <c r="B753" s="8" t="s">
        <v>41</v>
      </c>
      <c r="C753" s="9">
        <v>220.0</v>
      </c>
      <c r="D753" s="10">
        <v>13.0</v>
      </c>
      <c r="E753" s="10">
        <v>156.0</v>
      </c>
      <c r="F753" s="10">
        <v>2023.0</v>
      </c>
      <c r="G753" s="10"/>
    </row>
    <row r="754">
      <c r="A754" s="7">
        <v>45014.0</v>
      </c>
      <c r="B754" s="8" t="s">
        <v>36</v>
      </c>
      <c r="C754" s="11">
        <v>4041.0</v>
      </c>
      <c r="D754" s="10">
        <v>13.0</v>
      </c>
      <c r="E754" s="10">
        <v>156.0</v>
      </c>
      <c r="F754" s="10">
        <v>2023.0</v>
      </c>
      <c r="G754" s="10"/>
    </row>
    <row r="755">
      <c r="A755" s="7">
        <v>45014.0</v>
      </c>
      <c r="B755" s="8" t="s">
        <v>37</v>
      </c>
      <c r="C755" s="11">
        <v>1310.0</v>
      </c>
      <c r="D755" s="10">
        <v>13.0</v>
      </c>
      <c r="E755" s="10">
        <v>156.0</v>
      </c>
      <c r="F755" s="10">
        <v>2023.0</v>
      </c>
      <c r="G755" s="10"/>
    </row>
    <row r="756">
      <c r="A756" s="7">
        <v>45014.0</v>
      </c>
      <c r="B756" s="8" t="s">
        <v>49</v>
      </c>
      <c r="C756" s="9">
        <v>471.0</v>
      </c>
      <c r="D756" s="10">
        <v>13.0</v>
      </c>
      <c r="E756" s="10">
        <v>156.0</v>
      </c>
      <c r="F756" s="10">
        <v>2023.0</v>
      </c>
      <c r="G756" s="10"/>
    </row>
    <row r="757">
      <c r="A757" s="7">
        <v>45014.0</v>
      </c>
      <c r="B757" s="8" t="s">
        <v>50</v>
      </c>
      <c r="C757" s="14">
        <v>9998.0</v>
      </c>
      <c r="D757" s="10">
        <v>13.0</v>
      </c>
      <c r="E757" s="10">
        <v>156.0</v>
      </c>
      <c r="F757" s="10">
        <v>2023.0</v>
      </c>
      <c r="G757" s="10"/>
    </row>
    <row r="758">
      <c r="A758" s="7">
        <v>45014.0</v>
      </c>
      <c r="B758" s="8" t="s">
        <v>34</v>
      </c>
      <c r="C758" s="9">
        <v>503.0</v>
      </c>
      <c r="D758" s="10">
        <v>13.0</v>
      </c>
      <c r="E758" s="10">
        <v>156.0</v>
      </c>
      <c r="F758" s="10">
        <v>2023.0</v>
      </c>
      <c r="G758" s="10"/>
    </row>
    <row r="759">
      <c r="A759" s="7">
        <v>45014.0</v>
      </c>
      <c r="B759" s="8" t="s">
        <v>44</v>
      </c>
      <c r="C759" s="11">
        <v>1328.0</v>
      </c>
      <c r="D759" s="10">
        <v>13.0</v>
      </c>
      <c r="E759" s="10">
        <v>156.0</v>
      </c>
      <c r="F759" s="10">
        <v>2023.0</v>
      </c>
      <c r="G759" s="10"/>
    </row>
    <row r="760">
      <c r="A760" s="7">
        <v>45014.0</v>
      </c>
      <c r="B760" s="8" t="s">
        <v>40</v>
      </c>
      <c r="C760" s="11">
        <v>1319.0</v>
      </c>
      <c r="D760" s="10">
        <v>13.0</v>
      </c>
      <c r="E760" s="10">
        <v>156.0</v>
      </c>
      <c r="F760" s="10">
        <v>2023.0</v>
      </c>
      <c r="G760" s="10"/>
    </row>
    <row r="761">
      <c r="A761" s="7">
        <v>45014.0</v>
      </c>
      <c r="B761" s="8" t="s">
        <v>43</v>
      </c>
      <c r="C761" s="9">
        <v>104.0</v>
      </c>
      <c r="D761" s="10">
        <v>13.0</v>
      </c>
      <c r="E761" s="10">
        <v>156.0</v>
      </c>
      <c r="F761" s="10">
        <v>2023.0</v>
      </c>
      <c r="G761" s="10"/>
    </row>
    <row r="762">
      <c r="A762" s="7">
        <v>45021.0</v>
      </c>
      <c r="B762" s="8" t="s">
        <v>35</v>
      </c>
      <c r="C762" s="9">
        <v>930.0</v>
      </c>
      <c r="D762" s="10">
        <v>14.0</v>
      </c>
      <c r="E762" s="10">
        <v>157.0</v>
      </c>
      <c r="F762" s="10">
        <v>2023.0</v>
      </c>
      <c r="G762" s="10"/>
    </row>
    <row r="763">
      <c r="A763" s="7">
        <v>45021.0</v>
      </c>
      <c r="B763" s="8" t="s">
        <v>41</v>
      </c>
      <c r="C763" s="9">
        <v>60.0</v>
      </c>
      <c r="D763" s="10">
        <v>14.0</v>
      </c>
      <c r="E763" s="10">
        <v>157.0</v>
      </c>
      <c r="F763" s="10">
        <v>2023.0</v>
      </c>
      <c r="G763" s="10"/>
    </row>
    <row r="764">
      <c r="A764" s="7">
        <v>45021.0</v>
      </c>
      <c r="B764" s="8" t="s">
        <v>36</v>
      </c>
      <c r="C764" s="11">
        <v>3763.0</v>
      </c>
      <c r="D764" s="10">
        <v>14.0</v>
      </c>
      <c r="E764" s="10">
        <v>157.0</v>
      </c>
      <c r="F764" s="10">
        <v>2023.0</v>
      </c>
      <c r="G764" s="10"/>
    </row>
    <row r="765">
      <c r="A765" s="7">
        <v>45021.0</v>
      </c>
      <c r="B765" s="8" t="s">
        <v>37</v>
      </c>
      <c r="C765" s="11">
        <v>1057.0</v>
      </c>
      <c r="D765" s="10">
        <v>14.0</v>
      </c>
      <c r="E765" s="10">
        <v>157.0</v>
      </c>
      <c r="F765" s="10">
        <v>2023.0</v>
      </c>
      <c r="G765" s="10"/>
    </row>
    <row r="766">
      <c r="A766" s="7">
        <v>45021.0</v>
      </c>
      <c r="B766" s="8" t="s">
        <v>49</v>
      </c>
      <c r="C766" s="9">
        <v>267.0</v>
      </c>
      <c r="D766" s="10">
        <v>14.0</v>
      </c>
      <c r="E766" s="10">
        <v>157.0</v>
      </c>
      <c r="F766" s="10">
        <v>2023.0</v>
      </c>
      <c r="G766" s="10"/>
    </row>
    <row r="767">
      <c r="A767" s="7">
        <v>45021.0</v>
      </c>
      <c r="B767" s="8" t="s">
        <v>34</v>
      </c>
      <c r="C767" s="11">
        <v>1238.0</v>
      </c>
      <c r="D767" s="10">
        <v>14.0</v>
      </c>
      <c r="E767" s="10">
        <v>157.0</v>
      </c>
      <c r="F767" s="10">
        <v>2023.0</v>
      </c>
      <c r="G767" s="10"/>
    </row>
    <row r="768">
      <c r="A768" s="7">
        <v>45021.0</v>
      </c>
      <c r="B768" s="8" t="s">
        <v>44</v>
      </c>
      <c r="C768" s="9">
        <v>493.0</v>
      </c>
      <c r="D768" s="10">
        <v>14.0</v>
      </c>
      <c r="E768" s="10">
        <v>157.0</v>
      </c>
      <c r="F768" s="10">
        <v>2023.0</v>
      </c>
      <c r="G768" s="10"/>
    </row>
    <row r="769">
      <c r="A769" s="7">
        <v>45021.0</v>
      </c>
      <c r="B769" s="8" t="s">
        <v>40</v>
      </c>
      <c r="C769" s="9">
        <v>655.0</v>
      </c>
      <c r="D769" s="10">
        <v>14.0</v>
      </c>
      <c r="E769" s="10">
        <v>157.0</v>
      </c>
      <c r="F769" s="10">
        <v>2023.0</v>
      </c>
      <c r="G769" s="10"/>
    </row>
    <row r="770">
      <c r="A770" s="7">
        <v>45021.0</v>
      </c>
      <c r="B770" s="8" t="s">
        <v>43</v>
      </c>
      <c r="C770" s="9">
        <v>594.0</v>
      </c>
      <c r="D770" s="10">
        <v>14.0</v>
      </c>
      <c r="E770" s="10">
        <v>157.0</v>
      </c>
      <c r="F770" s="10">
        <v>2023.0</v>
      </c>
      <c r="G770" s="10"/>
    </row>
    <row r="771">
      <c r="A771" s="7">
        <v>45028.0</v>
      </c>
      <c r="B771" s="8" t="s">
        <v>35</v>
      </c>
      <c r="C771" s="11">
        <v>1034.0</v>
      </c>
      <c r="D771" s="10">
        <v>15.0</v>
      </c>
      <c r="E771" s="10">
        <v>158.0</v>
      </c>
      <c r="F771" s="10">
        <v>2023.0</v>
      </c>
      <c r="G771" s="10"/>
    </row>
    <row r="772">
      <c r="A772" s="7">
        <v>45028.0</v>
      </c>
      <c r="B772" s="8" t="s">
        <v>41</v>
      </c>
      <c r="C772" s="9">
        <v>240.0</v>
      </c>
      <c r="D772" s="10">
        <v>15.0</v>
      </c>
      <c r="E772" s="10">
        <v>158.0</v>
      </c>
      <c r="F772" s="10">
        <v>2023.0</v>
      </c>
      <c r="G772" s="10"/>
    </row>
    <row r="773">
      <c r="A773" s="7">
        <v>45028.0</v>
      </c>
      <c r="B773" s="8" t="s">
        <v>36</v>
      </c>
      <c r="C773" s="11">
        <v>2344.0</v>
      </c>
      <c r="D773" s="10">
        <v>15.0</v>
      </c>
      <c r="E773" s="10">
        <v>158.0</v>
      </c>
      <c r="F773" s="10">
        <v>2023.0</v>
      </c>
      <c r="G773" s="10"/>
    </row>
    <row r="774">
      <c r="A774" s="7">
        <v>45028.0</v>
      </c>
      <c r="B774" s="8" t="s">
        <v>37</v>
      </c>
      <c r="C774" s="11">
        <v>1078.0</v>
      </c>
      <c r="D774" s="10">
        <v>15.0</v>
      </c>
      <c r="E774" s="10">
        <v>158.0</v>
      </c>
      <c r="F774" s="10">
        <v>2023.0</v>
      </c>
      <c r="G774" s="10"/>
    </row>
    <row r="775">
      <c r="A775" s="7">
        <v>45028.0</v>
      </c>
      <c r="B775" s="8" t="s">
        <v>49</v>
      </c>
      <c r="C775" s="9">
        <v>300.0</v>
      </c>
      <c r="D775" s="10">
        <v>15.0</v>
      </c>
      <c r="E775" s="10">
        <v>158.0</v>
      </c>
      <c r="F775" s="10">
        <v>2023.0</v>
      </c>
      <c r="G775" s="10"/>
    </row>
    <row r="776">
      <c r="A776" s="7">
        <v>45028.0</v>
      </c>
      <c r="B776" s="8" t="s">
        <v>34</v>
      </c>
      <c r="C776" s="9">
        <v>500.0</v>
      </c>
      <c r="D776" s="10">
        <v>15.0</v>
      </c>
      <c r="E776" s="10">
        <v>158.0</v>
      </c>
      <c r="F776" s="10">
        <v>2023.0</v>
      </c>
      <c r="G776" s="10"/>
    </row>
    <row r="777">
      <c r="A777" s="7">
        <v>45028.0</v>
      </c>
      <c r="B777" s="8" t="s">
        <v>44</v>
      </c>
      <c r="C777" s="9">
        <v>500.0</v>
      </c>
      <c r="D777" s="10">
        <v>15.0</v>
      </c>
      <c r="E777" s="10">
        <v>158.0</v>
      </c>
      <c r="F777" s="10">
        <v>2023.0</v>
      </c>
      <c r="G777" s="10"/>
    </row>
    <row r="778">
      <c r="A778" s="7">
        <v>45028.0</v>
      </c>
      <c r="B778" s="8" t="s">
        <v>40</v>
      </c>
      <c r="C778" s="9">
        <v>747.0</v>
      </c>
      <c r="D778" s="10">
        <v>15.0</v>
      </c>
      <c r="E778" s="10">
        <v>158.0</v>
      </c>
      <c r="F778" s="10">
        <v>2023.0</v>
      </c>
      <c r="G778" s="10"/>
    </row>
    <row r="779">
      <c r="A779" s="7">
        <v>45028.0</v>
      </c>
      <c r="B779" s="8" t="s">
        <v>43</v>
      </c>
      <c r="C779" s="9">
        <v>107.0</v>
      </c>
      <c r="D779" s="10">
        <v>15.0</v>
      </c>
      <c r="E779" s="10">
        <v>158.0</v>
      </c>
      <c r="F779" s="10">
        <v>2023.0</v>
      </c>
      <c r="G779" s="10"/>
    </row>
    <row r="780">
      <c r="A780" s="7">
        <v>45035.0</v>
      </c>
      <c r="B780" s="8" t="s">
        <v>35</v>
      </c>
      <c r="C780" s="11">
        <v>1956.0</v>
      </c>
      <c r="D780" s="10">
        <v>16.0</v>
      </c>
      <c r="E780" s="10">
        <v>159.0</v>
      </c>
      <c r="F780" s="10">
        <v>2023.0</v>
      </c>
      <c r="G780" s="10"/>
    </row>
    <row r="781">
      <c r="A781" s="7">
        <v>45035.0</v>
      </c>
      <c r="B781" s="8" t="s">
        <v>41</v>
      </c>
      <c r="C781" s="9">
        <v>93.0</v>
      </c>
      <c r="D781" s="10">
        <v>16.0</v>
      </c>
      <c r="E781" s="10">
        <v>159.0</v>
      </c>
      <c r="F781" s="10">
        <v>2023.0</v>
      </c>
      <c r="G781" s="10"/>
    </row>
    <row r="782">
      <c r="A782" s="7">
        <v>45035.0</v>
      </c>
      <c r="B782" s="8" t="s">
        <v>36</v>
      </c>
      <c r="C782" s="11">
        <v>2946.0</v>
      </c>
      <c r="D782" s="10">
        <v>16.0</v>
      </c>
      <c r="E782" s="10">
        <v>159.0</v>
      </c>
      <c r="F782" s="10">
        <v>2023.0</v>
      </c>
      <c r="G782" s="10"/>
    </row>
    <row r="783">
      <c r="A783" s="7">
        <v>45035.0</v>
      </c>
      <c r="B783" s="8" t="s">
        <v>37</v>
      </c>
      <c r="C783" s="11">
        <v>1968.0</v>
      </c>
      <c r="D783" s="10">
        <v>16.0</v>
      </c>
      <c r="E783" s="10">
        <v>159.0</v>
      </c>
      <c r="F783" s="10">
        <v>2023.0</v>
      </c>
      <c r="G783" s="10"/>
    </row>
    <row r="784">
      <c r="A784" s="7">
        <v>45035.0</v>
      </c>
      <c r="B784" s="8" t="s">
        <v>49</v>
      </c>
      <c r="C784" s="9">
        <v>496.0</v>
      </c>
      <c r="D784" s="10">
        <v>16.0</v>
      </c>
      <c r="E784" s="10">
        <v>159.0</v>
      </c>
      <c r="F784" s="10">
        <v>2023.0</v>
      </c>
      <c r="G784" s="10"/>
    </row>
    <row r="785">
      <c r="A785" s="7">
        <v>45035.0</v>
      </c>
      <c r="B785" s="8" t="s">
        <v>34</v>
      </c>
      <c r="C785" s="11">
        <v>5019.0</v>
      </c>
      <c r="D785" s="10">
        <v>16.0</v>
      </c>
      <c r="E785" s="10">
        <v>159.0</v>
      </c>
      <c r="F785" s="10">
        <v>2023.0</v>
      </c>
      <c r="G785" s="10"/>
    </row>
    <row r="786">
      <c r="A786" s="7">
        <v>45035.0</v>
      </c>
      <c r="B786" s="8" t="s">
        <v>44</v>
      </c>
      <c r="C786" s="9">
        <v>377.0</v>
      </c>
      <c r="D786" s="10">
        <v>16.0</v>
      </c>
      <c r="E786" s="10">
        <v>159.0</v>
      </c>
      <c r="F786" s="10">
        <v>2023.0</v>
      </c>
      <c r="G786" s="10"/>
    </row>
    <row r="787">
      <c r="A787" s="7">
        <v>45035.0</v>
      </c>
      <c r="B787" s="8" t="s">
        <v>40</v>
      </c>
      <c r="C787" s="9">
        <v>938.0</v>
      </c>
      <c r="D787" s="10">
        <v>16.0</v>
      </c>
      <c r="E787" s="10">
        <v>159.0</v>
      </c>
      <c r="F787" s="10">
        <v>2023.0</v>
      </c>
      <c r="G787" s="10"/>
    </row>
    <row r="788">
      <c r="A788" s="7">
        <v>45035.0</v>
      </c>
      <c r="B788" s="8" t="s">
        <v>43</v>
      </c>
      <c r="C788" s="9">
        <v>239.0</v>
      </c>
      <c r="D788" s="10">
        <v>16.0</v>
      </c>
      <c r="E788" s="10">
        <v>159.0</v>
      </c>
      <c r="F788" s="10">
        <v>2023.0</v>
      </c>
      <c r="G788" s="10"/>
    </row>
    <row r="789">
      <c r="A789" s="7">
        <v>45042.0</v>
      </c>
      <c r="B789" s="8" t="s">
        <v>35</v>
      </c>
      <c r="C789" s="11">
        <v>1077.0</v>
      </c>
      <c r="D789" s="10">
        <v>17.0</v>
      </c>
      <c r="E789" s="10">
        <v>160.0</v>
      </c>
      <c r="F789" s="10">
        <v>2023.0</v>
      </c>
      <c r="G789" s="10"/>
    </row>
    <row r="790">
      <c r="A790" s="7">
        <v>45042.0</v>
      </c>
      <c r="B790" s="8" t="s">
        <v>41</v>
      </c>
      <c r="C790" s="9">
        <v>232.0</v>
      </c>
      <c r="D790" s="10">
        <v>17.0</v>
      </c>
      <c r="E790" s="10">
        <v>160.0</v>
      </c>
      <c r="F790" s="10">
        <v>2023.0</v>
      </c>
      <c r="G790" s="10"/>
    </row>
    <row r="791">
      <c r="A791" s="7">
        <v>45042.0</v>
      </c>
      <c r="B791" s="8" t="s">
        <v>36</v>
      </c>
      <c r="C791" s="11">
        <v>4789.0</v>
      </c>
      <c r="D791" s="10">
        <v>17.0</v>
      </c>
      <c r="E791" s="10">
        <v>160.0</v>
      </c>
      <c r="F791" s="10">
        <v>2023.0</v>
      </c>
      <c r="G791" s="10"/>
    </row>
    <row r="792">
      <c r="A792" s="7">
        <v>45042.0</v>
      </c>
      <c r="B792" s="8" t="s">
        <v>37</v>
      </c>
      <c r="C792" s="11">
        <v>1034.0</v>
      </c>
      <c r="D792" s="10">
        <v>17.0</v>
      </c>
      <c r="E792" s="10">
        <v>160.0</v>
      </c>
      <c r="F792" s="10">
        <v>2023.0</v>
      </c>
      <c r="G792" s="10"/>
    </row>
    <row r="793">
      <c r="A793" s="7">
        <v>45042.0</v>
      </c>
      <c r="B793" s="8" t="s">
        <v>49</v>
      </c>
      <c r="C793" s="9">
        <v>374.0</v>
      </c>
      <c r="D793" s="10">
        <v>17.0</v>
      </c>
      <c r="E793" s="10">
        <v>160.0</v>
      </c>
      <c r="F793" s="10">
        <v>2023.0</v>
      </c>
      <c r="G793" s="10"/>
    </row>
    <row r="794">
      <c r="A794" s="7">
        <v>45042.0</v>
      </c>
      <c r="B794" s="8" t="s">
        <v>34</v>
      </c>
      <c r="C794" s="11">
        <v>1906.0</v>
      </c>
      <c r="D794" s="10">
        <v>17.0</v>
      </c>
      <c r="E794" s="10">
        <v>160.0</v>
      </c>
      <c r="F794" s="10">
        <v>2023.0</v>
      </c>
      <c r="G794" s="10"/>
    </row>
    <row r="795">
      <c r="A795" s="7">
        <v>45042.0</v>
      </c>
      <c r="B795" s="8" t="s">
        <v>44</v>
      </c>
      <c r="C795" s="9">
        <v>531.0</v>
      </c>
      <c r="D795" s="10">
        <v>17.0</v>
      </c>
      <c r="E795" s="10">
        <v>160.0</v>
      </c>
      <c r="F795" s="10">
        <v>2023.0</v>
      </c>
      <c r="G795" s="10"/>
    </row>
    <row r="796">
      <c r="A796" s="7">
        <v>45042.0</v>
      </c>
      <c r="B796" s="8" t="s">
        <v>40</v>
      </c>
      <c r="C796" s="11">
        <v>1263.0</v>
      </c>
      <c r="D796" s="10">
        <v>17.0</v>
      </c>
      <c r="E796" s="10">
        <v>160.0</v>
      </c>
      <c r="F796" s="10">
        <v>2023.0</v>
      </c>
      <c r="G796" s="10"/>
    </row>
    <row r="797">
      <c r="A797" s="7">
        <v>45042.0</v>
      </c>
      <c r="B797" s="8" t="s">
        <v>43</v>
      </c>
      <c r="C797" s="9">
        <v>190.0</v>
      </c>
      <c r="D797" s="10">
        <v>17.0</v>
      </c>
      <c r="E797" s="10">
        <v>160.0</v>
      </c>
      <c r="F797" s="10">
        <v>2023.0</v>
      </c>
      <c r="G797" s="10"/>
    </row>
    <row r="798">
      <c r="A798" s="7">
        <v>45049.0</v>
      </c>
      <c r="B798" s="8" t="s">
        <v>35</v>
      </c>
      <c r="C798" s="11">
        <v>1091.0</v>
      </c>
      <c r="D798" s="10">
        <v>18.0</v>
      </c>
      <c r="E798" s="10">
        <v>161.0</v>
      </c>
      <c r="F798" s="10">
        <v>2023.0</v>
      </c>
      <c r="G798" s="10"/>
    </row>
    <row r="799">
      <c r="A799" s="7">
        <v>45049.0</v>
      </c>
      <c r="B799" s="8" t="s">
        <v>41</v>
      </c>
      <c r="C799" s="9">
        <v>222.0</v>
      </c>
      <c r="D799" s="10">
        <v>18.0</v>
      </c>
      <c r="E799" s="10">
        <v>161.0</v>
      </c>
      <c r="F799" s="10">
        <v>2023.0</v>
      </c>
      <c r="G799" s="10"/>
    </row>
    <row r="800">
      <c r="A800" s="7">
        <v>45049.0</v>
      </c>
      <c r="B800" s="8" t="s">
        <v>36</v>
      </c>
      <c r="C800" s="11">
        <v>2875.0</v>
      </c>
      <c r="D800" s="10">
        <v>18.0</v>
      </c>
      <c r="E800" s="10">
        <v>161.0</v>
      </c>
      <c r="F800" s="10">
        <v>2023.0</v>
      </c>
      <c r="G800" s="10"/>
    </row>
    <row r="801">
      <c r="A801" s="7">
        <v>45049.0</v>
      </c>
      <c r="B801" s="8" t="s">
        <v>37</v>
      </c>
      <c r="C801" s="11">
        <v>1646.0</v>
      </c>
      <c r="D801" s="10">
        <v>18.0</v>
      </c>
      <c r="E801" s="10">
        <v>161.0</v>
      </c>
      <c r="F801" s="10">
        <v>2023.0</v>
      </c>
      <c r="G801" s="10"/>
    </row>
    <row r="802">
      <c r="A802" s="7">
        <v>45049.0</v>
      </c>
      <c r="B802" s="8" t="s">
        <v>49</v>
      </c>
      <c r="C802" s="9">
        <v>447.0</v>
      </c>
      <c r="D802" s="10">
        <v>18.0</v>
      </c>
      <c r="E802" s="10">
        <v>161.0</v>
      </c>
      <c r="F802" s="10">
        <v>2023.0</v>
      </c>
      <c r="G802" s="10"/>
    </row>
    <row r="803">
      <c r="A803" s="7">
        <v>45049.0</v>
      </c>
      <c r="B803" s="8" t="s">
        <v>34</v>
      </c>
      <c r="C803" s="9">
        <v>500.0</v>
      </c>
      <c r="D803" s="10">
        <v>18.0</v>
      </c>
      <c r="E803" s="10">
        <v>161.0</v>
      </c>
      <c r="F803" s="10">
        <v>2023.0</v>
      </c>
      <c r="G803" s="10"/>
    </row>
    <row r="804">
      <c r="A804" s="7">
        <v>45049.0</v>
      </c>
      <c r="B804" s="8" t="s">
        <v>44</v>
      </c>
      <c r="C804" s="9">
        <v>450.0</v>
      </c>
      <c r="D804" s="10">
        <v>18.0</v>
      </c>
      <c r="E804" s="10">
        <v>161.0</v>
      </c>
      <c r="F804" s="10">
        <v>2023.0</v>
      </c>
      <c r="G804" s="10"/>
    </row>
    <row r="805">
      <c r="A805" s="7">
        <v>45049.0</v>
      </c>
      <c r="B805" s="8" t="s">
        <v>40</v>
      </c>
      <c r="C805" s="9">
        <v>720.0</v>
      </c>
      <c r="D805" s="10">
        <v>18.0</v>
      </c>
      <c r="E805" s="10">
        <v>161.0</v>
      </c>
      <c r="F805" s="10">
        <v>2023.0</v>
      </c>
      <c r="G805" s="10"/>
    </row>
    <row r="806">
      <c r="A806" s="7">
        <v>45049.0</v>
      </c>
      <c r="B806" s="8" t="s">
        <v>43</v>
      </c>
      <c r="C806" s="9">
        <v>84.0</v>
      </c>
      <c r="D806" s="10">
        <v>18.0</v>
      </c>
      <c r="E806" s="10">
        <v>161.0</v>
      </c>
      <c r="F806" s="10">
        <v>2023.0</v>
      </c>
      <c r="G806" s="10"/>
    </row>
    <row r="807">
      <c r="A807" s="7">
        <v>45056.0</v>
      </c>
      <c r="B807" s="8" t="s">
        <v>35</v>
      </c>
      <c r="C807" s="11">
        <v>1266.0</v>
      </c>
      <c r="D807" s="10">
        <v>19.0</v>
      </c>
      <c r="E807" s="10">
        <v>162.0</v>
      </c>
      <c r="F807" s="10">
        <v>2023.0</v>
      </c>
      <c r="G807" s="10"/>
    </row>
    <row r="808">
      <c r="A808" s="7">
        <v>45056.0</v>
      </c>
      <c r="B808" s="8" t="s">
        <v>41</v>
      </c>
      <c r="C808" s="9">
        <v>156.0</v>
      </c>
      <c r="D808" s="10">
        <v>19.0</v>
      </c>
      <c r="E808" s="10">
        <v>162.0</v>
      </c>
      <c r="F808" s="10">
        <v>2023.0</v>
      </c>
      <c r="G808" s="10"/>
    </row>
    <row r="809">
      <c r="A809" s="7">
        <v>45056.0</v>
      </c>
      <c r="B809" s="8" t="s">
        <v>36</v>
      </c>
      <c r="C809" s="11">
        <v>3853.0</v>
      </c>
      <c r="D809" s="10">
        <v>19.0</v>
      </c>
      <c r="E809" s="10">
        <v>162.0</v>
      </c>
      <c r="F809" s="10">
        <v>2023.0</v>
      </c>
      <c r="G809" s="10"/>
    </row>
    <row r="810">
      <c r="A810" s="7">
        <v>45056.0</v>
      </c>
      <c r="B810" s="8" t="s">
        <v>37</v>
      </c>
      <c r="C810" s="11">
        <v>1341.0</v>
      </c>
      <c r="D810" s="10">
        <v>19.0</v>
      </c>
      <c r="E810" s="10">
        <v>162.0</v>
      </c>
      <c r="F810" s="10">
        <v>2023.0</v>
      </c>
      <c r="G810" s="10"/>
    </row>
    <row r="811">
      <c r="A811" s="7">
        <v>45056.0</v>
      </c>
      <c r="B811" s="8" t="s">
        <v>49</v>
      </c>
      <c r="C811" s="9">
        <v>221.0</v>
      </c>
      <c r="D811" s="10">
        <v>19.0</v>
      </c>
      <c r="E811" s="10">
        <v>162.0</v>
      </c>
      <c r="F811" s="10">
        <v>2023.0</v>
      </c>
      <c r="G811" s="10"/>
    </row>
    <row r="812">
      <c r="A812" s="7">
        <v>45056.0</v>
      </c>
      <c r="B812" s="8" t="s">
        <v>34</v>
      </c>
      <c r="C812" s="9">
        <v>808.0</v>
      </c>
      <c r="D812" s="10">
        <v>19.0</v>
      </c>
      <c r="E812" s="10">
        <v>162.0</v>
      </c>
      <c r="F812" s="10">
        <v>2023.0</v>
      </c>
      <c r="G812" s="10"/>
    </row>
    <row r="813">
      <c r="A813" s="7">
        <v>45056.0</v>
      </c>
      <c r="B813" s="8" t="s">
        <v>44</v>
      </c>
      <c r="C813" s="9">
        <v>218.0</v>
      </c>
      <c r="D813" s="10">
        <v>19.0</v>
      </c>
      <c r="E813" s="10">
        <v>162.0</v>
      </c>
      <c r="F813" s="10">
        <v>2023.0</v>
      </c>
      <c r="G813" s="10"/>
    </row>
    <row r="814">
      <c r="A814" s="7">
        <v>45056.0</v>
      </c>
      <c r="B814" s="8" t="s">
        <v>40</v>
      </c>
      <c r="C814" s="11">
        <v>1165.0</v>
      </c>
      <c r="D814" s="10">
        <v>19.0</v>
      </c>
      <c r="E814" s="10">
        <v>162.0</v>
      </c>
      <c r="F814" s="10">
        <v>2023.0</v>
      </c>
      <c r="G814" s="10"/>
    </row>
    <row r="815">
      <c r="A815" s="7">
        <v>45056.0</v>
      </c>
      <c r="B815" s="8" t="s">
        <v>43</v>
      </c>
      <c r="C815" s="9">
        <v>94.0</v>
      </c>
      <c r="D815" s="10">
        <v>19.0</v>
      </c>
      <c r="E815" s="10">
        <v>162.0</v>
      </c>
      <c r="F815" s="10">
        <v>2023.0</v>
      </c>
      <c r="G815" s="10"/>
    </row>
    <row r="816">
      <c r="A816" s="7">
        <v>45063.0</v>
      </c>
      <c r="B816" s="8" t="s">
        <v>35</v>
      </c>
      <c r="C816" s="9">
        <v>622.0</v>
      </c>
      <c r="D816" s="10">
        <v>20.0</v>
      </c>
      <c r="E816" s="10">
        <v>163.0</v>
      </c>
      <c r="F816" s="10">
        <v>2023.0</v>
      </c>
      <c r="G816" s="10"/>
    </row>
    <row r="817">
      <c r="A817" s="7">
        <v>45063.0</v>
      </c>
      <c r="B817" s="8" t="s">
        <v>41</v>
      </c>
      <c r="C817" s="9">
        <v>125.0</v>
      </c>
      <c r="D817" s="10">
        <v>20.0</v>
      </c>
      <c r="E817" s="10">
        <v>163.0</v>
      </c>
      <c r="F817" s="10">
        <v>2023.0</v>
      </c>
      <c r="G817" s="10"/>
    </row>
    <row r="818">
      <c r="A818" s="7">
        <v>45063.0</v>
      </c>
      <c r="B818" s="8" t="s">
        <v>36</v>
      </c>
      <c r="C818" s="11">
        <v>1472.0</v>
      </c>
      <c r="D818" s="10">
        <v>20.0</v>
      </c>
      <c r="E818" s="10">
        <v>163.0</v>
      </c>
      <c r="F818" s="10">
        <v>2023.0</v>
      </c>
      <c r="G818" s="10"/>
    </row>
    <row r="819">
      <c r="A819" s="7">
        <v>45063.0</v>
      </c>
      <c r="B819" s="8" t="s">
        <v>37</v>
      </c>
      <c r="C819" s="11">
        <v>1246.0</v>
      </c>
      <c r="D819" s="10">
        <v>20.0</v>
      </c>
      <c r="E819" s="10">
        <v>163.0</v>
      </c>
      <c r="F819" s="10">
        <v>2023.0</v>
      </c>
      <c r="G819" s="10"/>
    </row>
    <row r="820">
      <c r="A820" s="7">
        <v>45063.0</v>
      </c>
      <c r="B820" s="8" t="s">
        <v>49</v>
      </c>
      <c r="C820" s="9">
        <v>538.0</v>
      </c>
      <c r="D820" s="10">
        <v>20.0</v>
      </c>
      <c r="E820" s="10">
        <v>163.0</v>
      </c>
      <c r="F820" s="10">
        <v>2023.0</v>
      </c>
      <c r="G820" s="10"/>
    </row>
    <row r="821">
      <c r="A821" s="7">
        <v>45063.0</v>
      </c>
      <c r="B821" s="8" t="s">
        <v>34</v>
      </c>
      <c r="C821" s="9">
        <v>350.0</v>
      </c>
      <c r="D821" s="10">
        <v>20.0</v>
      </c>
      <c r="E821" s="10">
        <v>163.0</v>
      </c>
      <c r="F821" s="10">
        <v>2023.0</v>
      </c>
      <c r="G821" s="10"/>
    </row>
    <row r="822">
      <c r="A822" s="7">
        <v>45063.0</v>
      </c>
      <c r="B822" s="8" t="s">
        <v>44</v>
      </c>
      <c r="C822" s="9">
        <v>233.0</v>
      </c>
      <c r="D822" s="10">
        <v>20.0</v>
      </c>
      <c r="E822" s="10">
        <v>163.0</v>
      </c>
      <c r="F822" s="10">
        <v>2023.0</v>
      </c>
      <c r="G822" s="10"/>
    </row>
    <row r="823">
      <c r="A823" s="7">
        <v>45063.0</v>
      </c>
      <c r="B823" s="8" t="s">
        <v>40</v>
      </c>
      <c r="C823" s="9">
        <v>988.0</v>
      </c>
      <c r="D823" s="10">
        <v>20.0</v>
      </c>
      <c r="E823" s="10">
        <v>163.0</v>
      </c>
      <c r="F823" s="10">
        <v>2023.0</v>
      </c>
      <c r="G823" s="10"/>
    </row>
    <row r="824">
      <c r="A824" s="7">
        <v>45063.0</v>
      </c>
      <c r="B824" s="8" t="s">
        <v>43</v>
      </c>
      <c r="C824" s="9">
        <v>230.0</v>
      </c>
      <c r="D824" s="10">
        <v>20.0</v>
      </c>
      <c r="E824" s="10">
        <v>163.0</v>
      </c>
      <c r="F824" s="10">
        <v>2023.0</v>
      </c>
      <c r="G824" s="10"/>
    </row>
    <row r="825">
      <c r="A825" s="7">
        <v>45070.0</v>
      </c>
      <c r="B825" s="8" t="s">
        <v>35</v>
      </c>
      <c r="C825" s="11">
        <v>2481.0</v>
      </c>
      <c r="D825" s="10">
        <v>21.0</v>
      </c>
      <c r="E825" s="10">
        <v>164.0</v>
      </c>
      <c r="F825" s="10">
        <v>2023.0</v>
      </c>
      <c r="G825" s="10"/>
    </row>
    <row r="826">
      <c r="A826" s="7">
        <v>45070.0</v>
      </c>
      <c r="B826" s="8" t="s">
        <v>41</v>
      </c>
      <c r="C826" s="9">
        <v>321.0</v>
      </c>
      <c r="D826" s="10">
        <v>21.0</v>
      </c>
      <c r="E826" s="10">
        <v>164.0</v>
      </c>
      <c r="F826" s="10">
        <v>2023.0</v>
      </c>
      <c r="G826" s="10"/>
    </row>
    <row r="827">
      <c r="A827" s="7">
        <v>45070.0</v>
      </c>
      <c r="B827" s="8" t="s">
        <v>36</v>
      </c>
      <c r="C827" s="11">
        <v>2035.0</v>
      </c>
      <c r="D827" s="10">
        <v>21.0</v>
      </c>
      <c r="E827" s="10">
        <v>164.0</v>
      </c>
      <c r="F827" s="10">
        <v>2023.0</v>
      </c>
      <c r="G827" s="10"/>
    </row>
    <row r="828">
      <c r="A828" s="7">
        <v>45070.0</v>
      </c>
      <c r="B828" s="8" t="s">
        <v>37</v>
      </c>
      <c r="C828" s="11">
        <v>1235.0</v>
      </c>
      <c r="D828" s="10">
        <v>21.0</v>
      </c>
      <c r="E828" s="10">
        <v>164.0</v>
      </c>
      <c r="F828" s="10">
        <v>2023.0</v>
      </c>
      <c r="G828" s="10"/>
    </row>
    <row r="829">
      <c r="A829" s="7">
        <v>45070.0</v>
      </c>
      <c r="B829" s="8" t="s">
        <v>49</v>
      </c>
      <c r="C829" s="9">
        <v>184.0</v>
      </c>
      <c r="D829" s="10">
        <v>21.0</v>
      </c>
      <c r="E829" s="10">
        <v>164.0</v>
      </c>
      <c r="F829" s="10">
        <v>2023.0</v>
      </c>
      <c r="G829" s="10"/>
    </row>
    <row r="830">
      <c r="A830" s="7">
        <v>45070.0</v>
      </c>
      <c r="B830" s="8" t="s">
        <v>34</v>
      </c>
      <c r="C830" s="11">
        <v>1900.0</v>
      </c>
      <c r="D830" s="10">
        <v>21.0</v>
      </c>
      <c r="E830" s="10">
        <v>164.0</v>
      </c>
      <c r="F830" s="10">
        <v>2023.0</v>
      </c>
      <c r="G830" s="10"/>
    </row>
    <row r="831">
      <c r="A831" s="7">
        <v>45070.0</v>
      </c>
      <c r="B831" s="8" t="s">
        <v>44</v>
      </c>
      <c r="C831" s="9">
        <v>468.0</v>
      </c>
      <c r="D831" s="10">
        <v>21.0</v>
      </c>
      <c r="E831" s="10">
        <v>164.0</v>
      </c>
      <c r="F831" s="10">
        <v>2023.0</v>
      </c>
      <c r="G831" s="10"/>
    </row>
    <row r="832">
      <c r="A832" s="7">
        <v>45070.0</v>
      </c>
      <c r="B832" s="8" t="s">
        <v>40</v>
      </c>
      <c r="C832" s="9">
        <v>585.0</v>
      </c>
      <c r="D832" s="10">
        <v>21.0</v>
      </c>
      <c r="E832" s="10">
        <v>164.0</v>
      </c>
      <c r="F832" s="10">
        <v>2023.0</v>
      </c>
      <c r="G832" s="10"/>
    </row>
    <row r="833">
      <c r="A833" s="7">
        <v>45077.0</v>
      </c>
      <c r="B833" s="8" t="s">
        <v>35</v>
      </c>
      <c r="C833" s="9">
        <v>574.0</v>
      </c>
      <c r="D833" s="10">
        <v>22.0</v>
      </c>
      <c r="E833" s="10">
        <v>165.0</v>
      </c>
      <c r="F833" s="10">
        <v>2023.0</v>
      </c>
      <c r="G833" s="10"/>
    </row>
    <row r="834">
      <c r="A834" s="7">
        <v>45077.0</v>
      </c>
      <c r="B834" s="8" t="s">
        <v>41</v>
      </c>
      <c r="C834" s="9">
        <v>172.0</v>
      </c>
      <c r="D834" s="10">
        <v>22.0</v>
      </c>
      <c r="E834" s="10">
        <v>165.0</v>
      </c>
      <c r="F834" s="10">
        <v>2023.0</v>
      </c>
      <c r="G834" s="10"/>
    </row>
    <row r="835">
      <c r="A835" s="7">
        <v>45077.0</v>
      </c>
      <c r="B835" s="8" t="s">
        <v>36</v>
      </c>
      <c r="C835" s="11">
        <v>1360.0</v>
      </c>
      <c r="D835" s="10">
        <v>22.0</v>
      </c>
      <c r="E835" s="10">
        <v>165.0</v>
      </c>
      <c r="F835" s="10">
        <v>2023.0</v>
      </c>
      <c r="G835" s="10"/>
    </row>
    <row r="836">
      <c r="A836" s="7">
        <v>45077.0</v>
      </c>
      <c r="B836" s="8" t="s">
        <v>37</v>
      </c>
      <c r="C836" s="11">
        <v>1607.0</v>
      </c>
      <c r="D836" s="10">
        <v>22.0</v>
      </c>
      <c r="E836" s="10">
        <v>165.0</v>
      </c>
      <c r="F836" s="10">
        <v>2023.0</v>
      </c>
      <c r="G836" s="10"/>
    </row>
    <row r="837">
      <c r="A837" s="7">
        <v>45077.0</v>
      </c>
      <c r="B837" s="8" t="s">
        <v>49</v>
      </c>
      <c r="C837" s="9">
        <v>284.0</v>
      </c>
      <c r="D837" s="10">
        <v>22.0</v>
      </c>
      <c r="E837" s="10">
        <v>165.0</v>
      </c>
      <c r="F837" s="10">
        <v>2023.0</v>
      </c>
      <c r="G837" s="10"/>
    </row>
    <row r="838">
      <c r="A838" s="7">
        <v>45077.0</v>
      </c>
      <c r="B838" s="8" t="s">
        <v>34</v>
      </c>
      <c r="C838" s="9">
        <v>841.0</v>
      </c>
      <c r="D838" s="10">
        <v>22.0</v>
      </c>
      <c r="E838" s="10">
        <v>165.0</v>
      </c>
      <c r="F838" s="10">
        <v>2023.0</v>
      </c>
      <c r="G838" s="10"/>
    </row>
    <row r="839">
      <c r="A839" s="7">
        <v>45077.0</v>
      </c>
      <c r="B839" s="8" t="s">
        <v>44</v>
      </c>
      <c r="C839" s="9">
        <v>198.0</v>
      </c>
      <c r="D839" s="10">
        <v>22.0</v>
      </c>
      <c r="E839" s="10">
        <v>165.0</v>
      </c>
      <c r="F839" s="10">
        <v>2023.0</v>
      </c>
      <c r="G839" s="10"/>
    </row>
    <row r="840">
      <c r="A840" s="7">
        <v>45077.0</v>
      </c>
      <c r="B840" s="8" t="s">
        <v>40</v>
      </c>
      <c r="C840" s="9">
        <v>304.0</v>
      </c>
      <c r="D840" s="10">
        <v>22.0</v>
      </c>
      <c r="E840" s="10">
        <v>165.0</v>
      </c>
      <c r="F840" s="10">
        <v>2023.0</v>
      </c>
      <c r="G840" s="10"/>
    </row>
    <row r="841">
      <c r="A841" s="7">
        <v>45077.0</v>
      </c>
      <c r="B841" s="8" t="s">
        <v>43</v>
      </c>
      <c r="C841" s="9">
        <v>87.0</v>
      </c>
      <c r="D841" s="10">
        <v>22.0</v>
      </c>
      <c r="E841" s="10">
        <v>165.0</v>
      </c>
      <c r="F841" s="10">
        <v>2023.0</v>
      </c>
      <c r="G841" s="10"/>
    </row>
    <row r="842">
      <c r="A842" s="7">
        <v>45084.0</v>
      </c>
      <c r="B842" s="8" t="s">
        <v>35</v>
      </c>
      <c r="C842" s="11">
        <v>1095.0</v>
      </c>
      <c r="D842" s="10">
        <v>23.0</v>
      </c>
      <c r="E842" s="10">
        <v>166.0</v>
      </c>
      <c r="F842" s="10">
        <v>2023.0</v>
      </c>
      <c r="G842" s="10"/>
    </row>
    <row r="843">
      <c r="A843" s="7">
        <v>45084.0</v>
      </c>
      <c r="B843" s="8" t="s">
        <v>41</v>
      </c>
      <c r="C843" s="9">
        <v>100.0</v>
      </c>
      <c r="D843" s="10">
        <v>23.0</v>
      </c>
      <c r="E843" s="10">
        <v>166.0</v>
      </c>
      <c r="F843" s="10">
        <v>2023.0</v>
      </c>
      <c r="G843" s="10"/>
    </row>
    <row r="844">
      <c r="A844" s="7">
        <v>45084.0</v>
      </c>
      <c r="B844" s="8" t="s">
        <v>36</v>
      </c>
      <c r="C844" s="11">
        <v>2544.0</v>
      </c>
      <c r="D844" s="10">
        <v>23.0</v>
      </c>
      <c r="E844" s="10">
        <v>166.0</v>
      </c>
      <c r="F844" s="10">
        <v>2023.0</v>
      </c>
      <c r="G844" s="10"/>
    </row>
    <row r="845">
      <c r="A845" s="7">
        <v>45084.0</v>
      </c>
      <c r="B845" s="8" t="s">
        <v>37</v>
      </c>
      <c r="C845" s="11">
        <v>2439.0</v>
      </c>
      <c r="D845" s="10">
        <v>23.0</v>
      </c>
      <c r="E845" s="10">
        <v>166.0</v>
      </c>
      <c r="F845" s="10">
        <v>2023.0</v>
      </c>
      <c r="G845" s="10"/>
    </row>
    <row r="846">
      <c r="A846" s="7">
        <v>45084.0</v>
      </c>
      <c r="B846" s="8" t="s">
        <v>49</v>
      </c>
      <c r="C846" s="9">
        <v>255.0</v>
      </c>
      <c r="D846" s="10">
        <v>23.0</v>
      </c>
      <c r="E846" s="10">
        <v>166.0</v>
      </c>
      <c r="F846" s="10">
        <v>2023.0</v>
      </c>
      <c r="G846" s="10"/>
    </row>
    <row r="847">
      <c r="A847" s="7">
        <v>45084.0</v>
      </c>
      <c r="B847" s="8" t="s">
        <v>34</v>
      </c>
      <c r="C847" s="11">
        <v>1508.0</v>
      </c>
      <c r="D847" s="10">
        <v>23.0</v>
      </c>
      <c r="E847" s="10">
        <v>166.0</v>
      </c>
      <c r="F847" s="10">
        <v>2023.0</v>
      </c>
      <c r="G847" s="10"/>
    </row>
    <row r="848">
      <c r="A848" s="7">
        <v>45084.0</v>
      </c>
      <c r="B848" s="8" t="s">
        <v>44</v>
      </c>
      <c r="C848" s="9">
        <v>560.0</v>
      </c>
      <c r="D848" s="10">
        <v>23.0</v>
      </c>
      <c r="E848" s="10">
        <v>166.0</v>
      </c>
      <c r="F848" s="10">
        <v>2023.0</v>
      </c>
      <c r="G848" s="10"/>
    </row>
    <row r="849">
      <c r="A849" s="7">
        <v>45084.0</v>
      </c>
      <c r="B849" s="8" t="s">
        <v>40</v>
      </c>
      <c r="C849" s="9">
        <v>533.0</v>
      </c>
      <c r="D849" s="10">
        <v>23.0</v>
      </c>
      <c r="E849" s="10">
        <v>166.0</v>
      </c>
      <c r="F849" s="10">
        <v>2023.0</v>
      </c>
      <c r="G849" s="10"/>
    </row>
    <row r="850">
      <c r="A850" s="7">
        <v>45084.0</v>
      </c>
      <c r="B850" s="8" t="s">
        <v>43</v>
      </c>
      <c r="C850" s="9">
        <v>138.0</v>
      </c>
      <c r="D850" s="10">
        <v>23.0</v>
      </c>
      <c r="E850" s="10">
        <v>166.0</v>
      </c>
      <c r="F850" s="10">
        <v>2023.0</v>
      </c>
      <c r="G850" s="10"/>
    </row>
    <row r="851">
      <c r="A851" s="7">
        <v>45091.0</v>
      </c>
      <c r="B851" s="8" t="s">
        <v>35</v>
      </c>
      <c r="C851" s="11">
        <v>1399.0</v>
      </c>
      <c r="D851" s="10">
        <v>24.0</v>
      </c>
      <c r="E851" s="10">
        <v>167.0</v>
      </c>
      <c r="F851" s="10">
        <v>2023.0</v>
      </c>
      <c r="G851" s="10"/>
    </row>
    <row r="852">
      <c r="A852" s="7">
        <v>45091.0</v>
      </c>
      <c r="B852" s="8" t="s">
        <v>41</v>
      </c>
      <c r="C852" s="9">
        <v>102.0</v>
      </c>
      <c r="D852" s="10">
        <v>24.0</v>
      </c>
      <c r="E852" s="10">
        <v>167.0</v>
      </c>
      <c r="F852" s="10">
        <v>2023.0</v>
      </c>
      <c r="G852" s="10"/>
    </row>
    <row r="853">
      <c r="A853" s="7">
        <v>45091.0</v>
      </c>
      <c r="B853" s="8" t="s">
        <v>36</v>
      </c>
      <c r="C853" s="11">
        <v>3516.0</v>
      </c>
      <c r="D853" s="10">
        <v>24.0</v>
      </c>
      <c r="E853" s="10">
        <v>167.0</v>
      </c>
      <c r="F853" s="10">
        <v>2023.0</v>
      </c>
      <c r="G853" s="10"/>
    </row>
    <row r="854">
      <c r="A854" s="7">
        <v>45091.0</v>
      </c>
      <c r="B854" s="8" t="s">
        <v>37</v>
      </c>
      <c r="C854" s="11">
        <v>2231.0</v>
      </c>
      <c r="D854" s="10">
        <v>24.0</v>
      </c>
      <c r="E854" s="10">
        <v>167.0</v>
      </c>
      <c r="F854" s="10">
        <v>2023.0</v>
      </c>
      <c r="G854" s="10"/>
    </row>
    <row r="855">
      <c r="A855" s="7">
        <v>45091.0</v>
      </c>
      <c r="B855" s="8" t="s">
        <v>49</v>
      </c>
      <c r="C855" s="9">
        <v>391.0</v>
      </c>
      <c r="D855" s="10">
        <v>24.0</v>
      </c>
      <c r="E855" s="10">
        <v>167.0</v>
      </c>
      <c r="F855" s="10">
        <v>2023.0</v>
      </c>
      <c r="G855" s="10"/>
    </row>
    <row r="856">
      <c r="A856" s="7">
        <v>45091.0</v>
      </c>
      <c r="B856" s="8" t="s">
        <v>34</v>
      </c>
      <c r="C856" s="11">
        <v>1931.0</v>
      </c>
      <c r="D856" s="10">
        <v>24.0</v>
      </c>
      <c r="E856" s="10">
        <v>167.0</v>
      </c>
      <c r="F856" s="10">
        <v>2023.0</v>
      </c>
      <c r="G856" s="10"/>
    </row>
    <row r="857">
      <c r="A857" s="7">
        <v>45091.0</v>
      </c>
      <c r="B857" s="8" t="s">
        <v>44</v>
      </c>
      <c r="C857" s="9">
        <v>570.0</v>
      </c>
      <c r="D857" s="10">
        <v>24.0</v>
      </c>
      <c r="E857" s="10">
        <v>167.0</v>
      </c>
      <c r="F857" s="10">
        <v>2023.0</v>
      </c>
      <c r="G857" s="10"/>
    </row>
    <row r="858">
      <c r="A858" s="7">
        <v>45091.0</v>
      </c>
      <c r="B858" s="8" t="s">
        <v>40</v>
      </c>
      <c r="C858" s="9">
        <v>811.0</v>
      </c>
      <c r="D858" s="10">
        <v>24.0</v>
      </c>
      <c r="E858" s="10">
        <v>167.0</v>
      </c>
      <c r="F858" s="10">
        <v>2023.0</v>
      </c>
      <c r="G858" s="10"/>
    </row>
    <row r="859">
      <c r="A859" s="7">
        <v>45091.0</v>
      </c>
      <c r="B859" s="8" t="s">
        <v>43</v>
      </c>
      <c r="C859" s="9">
        <v>39.0</v>
      </c>
      <c r="D859" s="10">
        <v>24.0</v>
      </c>
      <c r="E859" s="10">
        <v>167.0</v>
      </c>
      <c r="F859" s="10">
        <v>2023.0</v>
      </c>
      <c r="G859" s="10"/>
    </row>
    <row r="860">
      <c r="A860" s="7">
        <v>45098.0</v>
      </c>
      <c r="B860" s="8" t="s">
        <v>35</v>
      </c>
      <c r="C860" s="11">
        <v>1724.0</v>
      </c>
      <c r="D860" s="10">
        <v>25.0</v>
      </c>
      <c r="E860" s="10">
        <v>168.0</v>
      </c>
      <c r="F860" s="10">
        <v>2023.0</v>
      </c>
      <c r="G860" s="10"/>
    </row>
    <row r="861">
      <c r="A861" s="7">
        <v>45098.0</v>
      </c>
      <c r="B861" s="8" t="s">
        <v>41</v>
      </c>
      <c r="C861" s="9">
        <v>100.0</v>
      </c>
      <c r="D861" s="10">
        <v>25.0</v>
      </c>
      <c r="E861" s="10">
        <v>168.0</v>
      </c>
      <c r="F861" s="10">
        <v>2023.0</v>
      </c>
      <c r="G861" s="10"/>
    </row>
    <row r="862">
      <c r="A862" s="7">
        <v>45098.0</v>
      </c>
      <c r="B862" s="8" t="s">
        <v>36</v>
      </c>
      <c r="C862" s="11">
        <v>2274.0</v>
      </c>
      <c r="D862" s="10">
        <v>25.0</v>
      </c>
      <c r="E862" s="10">
        <v>168.0</v>
      </c>
      <c r="F862" s="10">
        <v>2023.0</v>
      </c>
      <c r="G862" s="10"/>
    </row>
    <row r="863">
      <c r="A863" s="7">
        <v>45098.0</v>
      </c>
      <c r="B863" s="8" t="s">
        <v>37</v>
      </c>
      <c r="C863" s="11">
        <v>1882.0</v>
      </c>
      <c r="D863" s="10">
        <v>25.0</v>
      </c>
      <c r="E863" s="10">
        <v>168.0</v>
      </c>
      <c r="F863" s="10">
        <v>2023.0</v>
      </c>
      <c r="G863" s="10"/>
    </row>
    <row r="864">
      <c r="A864" s="7">
        <v>45098.0</v>
      </c>
      <c r="B864" s="8" t="s">
        <v>49</v>
      </c>
      <c r="C864" s="9">
        <v>304.0</v>
      </c>
      <c r="D864" s="10">
        <v>25.0</v>
      </c>
      <c r="E864" s="10">
        <v>168.0</v>
      </c>
      <c r="F864" s="10">
        <v>2023.0</v>
      </c>
      <c r="G864" s="10"/>
    </row>
    <row r="865">
      <c r="A865" s="7">
        <v>45098.0</v>
      </c>
      <c r="B865" s="8" t="s">
        <v>34</v>
      </c>
      <c r="C865" s="11">
        <v>1347.0</v>
      </c>
      <c r="D865" s="10">
        <v>25.0</v>
      </c>
      <c r="E865" s="10">
        <v>168.0</v>
      </c>
      <c r="F865" s="10">
        <v>2023.0</v>
      </c>
      <c r="G865" s="10"/>
    </row>
    <row r="866">
      <c r="A866" s="7">
        <v>45098.0</v>
      </c>
      <c r="B866" s="8" t="s">
        <v>44</v>
      </c>
      <c r="C866" s="9">
        <v>196.0</v>
      </c>
      <c r="D866" s="10">
        <v>25.0</v>
      </c>
      <c r="E866" s="10">
        <v>168.0</v>
      </c>
      <c r="F866" s="10">
        <v>2023.0</v>
      </c>
      <c r="G866" s="10"/>
    </row>
    <row r="867">
      <c r="A867" s="7">
        <v>45098.0</v>
      </c>
      <c r="B867" s="8" t="s">
        <v>40</v>
      </c>
      <c r="C867" s="9">
        <v>370.0</v>
      </c>
      <c r="D867" s="10">
        <v>25.0</v>
      </c>
      <c r="E867" s="10">
        <v>168.0</v>
      </c>
      <c r="F867" s="10">
        <v>2023.0</v>
      </c>
      <c r="G867" s="10"/>
    </row>
    <row r="868">
      <c r="A868" s="7">
        <v>45105.0</v>
      </c>
      <c r="B868" s="8" t="s">
        <v>35</v>
      </c>
      <c r="C868" s="11">
        <v>1672.0</v>
      </c>
      <c r="D868" s="10">
        <v>26.0</v>
      </c>
      <c r="E868" s="10">
        <v>169.0</v>
      </c>
      <c r="F868" s="10">
        <v>2023.0</v>
      </c>
      <c r="G868" s="10"/>
    </row>
    <row r="869">
      <c r="A869" s="7">
        <v>45105.0</v>
      </c>
      <c r="B869" s="8" t="s">
        <v>41</v>
      </c>
      <c r="C869" s="9">
        <v>126.0</v>
      </c>
      <c r="D869" s="10">
        <v>26.0</v>
      </c>
      <c r="E869" s="10">
        <v>169.0</v>
      </c>
      <c r="F869" s="10">
        <v>2023.0</v>
      </c>
      <c r="G869" s="10"/>
    </row>
    <row r="870">
      <c r="A870" s="7">
        <v>45105.0</v>
      </c>
      <c r="B870" s="8" t="s">
        <v>36</v>
      </c>
      <c r="C870" s="11">
        <v>1599.0</v>
      </c>
      <c r="D870" s="10">
        <v>26.0</v>
      </c>
      <c r="E870" s="10">
        <v>169.0</v>
      </c>
      <c r="F870" s="10">
        <v>2023.0</v>
      </c>
      <c r="G870" s="10"/>
    </row>
    <row r="871">
      <c r="A871" s="7">
        <v>45105.0</v>
      </c>
      <c r="B871" s="8" t="s">
        <v>37</v>
      </c>
      <c r="C871" s="11">
        <v>1880.0</v>
      </c>
      <c r="D871" s="10">
        <v>26.0</v>
      </c>
      <c r="E871" s="10">
        <v>169.0</v>
      </c>
      <c r="F871" s="10">
        <v>2023.0</v>
      </c>
      <c r="G871" s="10"/>
    </row>
    <row r="872">
      <c r="A872" s="7">
        <v>45105.0</v>
      </c>
      <c r="B872" s="8" t="s">
        <v>34</v>
      </c>
      <c r="C872" s="11">
        <v>3098.0</v>
      </c>
      <c r="D872" s="10">
        <v>26.0</v>
      </c>
      <c r="E872" s="10">
        <v>169.0</v>
      </c>
      <c r="F872" s="10">
        <v>2023.0</v>
      </c>
      <c r="G872" s="10"/>
    </row>
    <row r="873">
      <c r="A873" s="7">
        <v>45105.0</v>
      </c>
      <c r="B873" s="8" t="s">
        <v>44</v>
      </c>
      <c r="C873" s="9">
        <v>179.0</v>
      </c>
      <c r="D873" s="10">
        <v>26.0</v>
      </c>
      <c r="E873" s="10">
        <v>169.0</v>
      </c>
      <c r="F873" s="10">
        <v>2023.0</v>
      </c>
      <c r="G873" s="10"/>
    </row>
    <row r="874">
      <c r="A874" s="7">
        <v>45105.0</v>
      </c>
      <c r="B874" s="8" t="s">
        <v>40</v>
      </c>
      <c r="C874" s="9">
        <v>460.0</v>
      </c>
      <c r="D874" s="10">
        <v>26.0</v>
      </c>
      <c r="E874" s="10">
        <v>169.0</v>
      </c>
      <c r="F874" s="10">
        <v>2023.0</v>
      </c>
      <c r="G874" s="10"/>
    </row>
    <row r="875">
      <c r="A875" s="7">
        <v>45105.0</v>
      </c>
      <c r="B875" s="8" t="s">
        <v>43</v>
      </c>
      <c r="C875" s="9">
        <v>96.0</v>
      </c>
      <c r="D875" s="10">
        <v>26.0</v>
      </c>
      <c r="E875" s="10">
        <v>169.0</v>
      </c>
      <c r="F875" s="10">
        <v>2023.0</v>
      </c>
      <c r="G875" s="10"/>
    </row>
    <row r="876">
      <c r="A876" s="7">
        <v>45118.0</v>
      </c>
      <c r="B876" s="8" t="s">
        <v>35</v>
      </c>
      <c r="C876" s="11">
        <v>2143.0</v>
      </c>
      <c r="D876" s="10">
        <v>28.0</v>
      </c>
      <c r="E876" s="10">
        <v>171.0</v>
      </c>
      <c r="F876" s="10">
        <v>2023.0</v>
      </c>
      <c r="G876" s="10"/>
    </row>
    <row r="877">
      <c r="A877" s="7">
        <v>45118.0</v>
      </c>
      <c r="B877" s="8" t="s">
        <v>36</v>
      </c>
      <c r="C877" s="11">
        <v>2350.0</v>
      </c>
      <c r="D877" s="10">
        <v>28.0</v>
      </c>
      <c r="E877" s="10">
        <v>171.0</v>
      </c>
      <c r="F877" s="10">
        <v>2023.0</v>
      </c>
      <c r="G877" s="10"/>
    </row>
    <row r="878">
      <c r="A878" s="7">
        <v>45118.0</v>
      </c>
      <c r="B878" s="8" t="s">
        <v>37</v>
      </c>
      <c r="C878" s="11">
        <v>1690.0</v>
      </c>
      <c r="D878" s="10">
        <v>28.0</v>
      </c>
      <c r="E878" s="10">
        <v>171.0</v>
      </c>
      <c r="F878" s="10">
        <v>2023.0</v>
      </c>
      <c r="G878" s="10"/>
    </row>
    <row r="879">
      <c r="A879" s="7">
        <v>45118.0</v>
      </c>
      <c r="B879" s="8" t="s">
        <v>49</v>
      </c>
      <c r="C879" s="9">
        <v>283.0</v>
      </c>
      <c r="D879" s="10">
        <v>28.0</v>
      </c>
      <c r="E879" s="10">
        <v>171.0</v>
      </c>
      <c r="F879" s="10">
        <v>2023.0</v>
      </c>
      <c r="G879" s="10"/>
    </row>
    <row r="880">
      <c r="A880" s="7">
        <v>45118.0</v>
      </c>
      <c r="B880" s="8" t="s">
        <v>34</v>
      </c>
      <c r="C880" s="11">
        <v>1664.0</v>
      </c>
      <c r="D880" s="10">
        <v>28.0</v>
      </c>
      <c r="E880" s="10">
        <v>171.0</v>
      </c>
      <c r="F880" s="10">
        <v>2023.0</v>
      </c>
      <c r="G880" s="10"/>
    </row>
    <row r="881">
      <c r="A881" s="7">
        <v>45118.0</v>
      </c>
      <c r="B881" s="8" t="s">
        <v>44</v>
      </c>
      <c r="C881" s="9">
        <v>656.0</v>
      </c>
      <c r="D881" s="10">
        <v>28.0</v>
      </c>
      <c r="E881" s="10">
        <v>171.0</v>
      </c>
      <c r="F881" s="10">
        <v>2023.0</v>
      </c>
      <c r="G881" s="10"/>
    </row>
    <row r="882">
      <c r="A882" s="7">
        <v>45118.0</v>
      </c>
      <c r="B882" s="8" t="s">
        <v>40</v>
      </c>
      <c r="C882" s="9">
        <v>481.0</v>
      </c>
      <c r="D882" s="10">
        <v>28.0</v>
      </c>
      <c r="E882" s="10">
        <v>171.0</v>
      </c>
      <c r="F882" s="10">
        <v>2023.0</v>
      </c>
      <c r="G882" s="10"/>
    </row>
    <row r="883">
      <c r="A883" s="7">
        <v>45118.0</v>
      </c>
      <c r="B883" s="8" t="s">
        <v>43</v>
      </c>
      <c r="C883" s="9">
        <v>242.0</v>
      </c>
      <c r="D883" s="10">
        <v>28.0</v>
      </c>
      <c r="E883" s="10">
        <v>171.0</v>
      </c>
      <c r="F883" s="10">
        <v>2023.0</v>
      </c>
      <c r="G883" s="10"/>
    </row>
    <row r="884">
      <c r="A884" s="7">
        <v>45126.0</v>
      </c>
      <c r="B884" s="8" t="s">
        <v>35</v>
      </c>
      <c r="C884" s="11">
        <v>1035.0</v>
      </c>
      <c r="D884" s="10">
        <v>29.0</v>
      </c>
      <c r="E884" s="10">
        <v>172.0</v>
      </c>
      <c r="F884" s="10">
        <v>2023.0</v>
      </c>
      <c r="G884" s="10"/>
    </row>
    <row r="885">
      <c r="A885" s="7">
        <v>45126.0</v>
      </c>
      <c r="B885" s="8" t="s">
        <v>36</v>
      </c>
      <c r="C885" s="11">
        <v>2606.0</v>
      </c>
      <c r="D885" s="10">
        <v>29.0</v>
      </c>
      <c r="E885" s="10">
        <v>172.0</v>
      </c>
      <c r="F885" s="10">
        <v>2023.0</v>
      </c>
      <c r="G885" s="10"/>
    </row>
    <row r="886">
      <c r="A886" s="7">
        <v>45126.0</v>
      </c>
      <c r="B886" s="8" t="s">
        <v>37</v>
      </c>
      <c r="C886" s="11">
        <v>1448.0</v>
      </c>
      <c r="D886" s="10">
        <v>29.0</v>
      </c>
      <c r="E886" s="10">
        <v>172.0</v>
      </c>
      <c r="F886" s="10">
        <v>2023.0</v>
      </c>
      <c r="G886" s="10"/>
    </row>
    <row r="887">
      <c r="A887" s="7">
        <v>45126.0</v>
      </c>
      <c r="B887" s="8" t="s">
        <v>49</v>
      </c>
      <c r="C887" s="9">
        <v>366.0</v>
      </c>
      <c r="D887" s="10">
        <v>29.0</v>
      </c>
      <c r="E887" s="10">
        <v>172.0</v>
      </c>
      <c r="F887" s="10">
        <v>2023.0</v>
      </c>
      <c r="G887" s="10"/>
    </row>
    <row r="888">
      <c r="A888" s="7">
        <v>45126.0</v>
      </c>
      <c r="B888" s="8" t="s">
        <v>34</v>
      </c>
      <c r="C888" s="11">
        <v>2113.0</v>
      </c>
      <c r="D888" s="10">
        <v>29.0</v>
      </c>
      <c r="E888" s="10">
        <v>172.0</v>
      </c>
      <c r="F888" s="10">
        <v>2023.0</v>
      </c>
      <c r="G888" s="10"/>
    </row>
    <row r="889">
      <c r="A889" s="7">
        <v>45126.0</v>
      </c>
      <c r="B889" s="8" t="s">
        <v>44</v>
      </c>
      <c r="C889" s="9">
        <v>629.0</v>
      </c>
      <c r="D889" s="10">
        <v>29.0</v>
      </c>
      <c r="E889" s="10">
        <v>172.0</v>
      </c>
      <c r="F889" s="10">
        <v>2023.0</v>
      </c>
      <c r="G889" s="10"/>
    </row>
    <row r="890">
      <c r="A890" s="7">
        <v>45126.0</v>
      </c>
      <c r="B890" s="8" t="s">
        <v>40</v>
      </c>
      <c r="C890" s="9">
        <v>532.0</v>
      </c>
      <c r="D890" s="10">
        <v>29.0</v>
      </c>
      <c r="E890" s="10">
        <v>172.0</v>
      </c>
      <c r="F890" s="10">
        <v>2023.0</v>
      </c>
      <c r="G890" s="10"/>
    </row>
    <row r="891">
      <c r="A891" s="7">
        <v>45126.0</v>
      </c>
      <c r="B891" s="8" t="s">
        <v>43</v>
      </c>
      <c r="C891" s="9">
        <v>94.0</v>
      </c>
      <c r="D891" s="10">
        <v>29.0</v>
      </c>
      <c r="E891" s="10">
        <v>172.0</v>
      </c>
      <c r="F891" s="10">
        <v>2023.0</v>
      </c>
      <c r="G891" s="10"/>
    </row>
    <row r="892">
      <c r="A892" s="7">
        <v>45133.0</v>
      </c>
      <c r="B892" s="8" t="s">
        <v>35</v>
      </c>
      <c r="C892" s="11">
        <v>2097.0</v>
      </c>
      <c r="D892" s="10">
        <v>30.0</v>
      </c>
      <c r="E892" s="10">
        <v>173.0</v>
      </c>
      <c r="F892" s="10">
        <v>2023.0</v>
      </c>
      <c r="G892" s="10"/>
    </row>
    <row r="893">
      <c r="A893" s="7">
        <v>45133.0</v>
      </c>
      <c r="B893" s="8" t="s">
        <v>41</v>
      </c>
      <c r="C893" s="9">
        <v>85.0</v>
      </c>
      <c r="D893" s="10">
        <v>30.0</v>
      </c>
      <c r="E893" s="10">
        <v>173.0</v>
      </c>
      <c r="F893" s="10">
        <v>2023.0</v>
      </c>
      <c r="G893" s="10"/>
    </row>
    <row r="894">
      <c r="A894" s="7">
        <v>45133.0</v>
      </c>
      <c r="B894" s="8" t="s">
        <v>36</v>
      </c>
      <c r="C894" s="11">
        <v>1904.0</v>
      </c>
      <c r="D894" s="10">
        <v>30.0</v>
      </c>
      <c r="E894" s="10">
        <v>173.0</v>
      </c>
      <c r="F894" s="10">
        <v>2023.0</v>
      </c>
      <c r="G894" s="10"/>
    </row>
    <row r="895">
      <c r="A895" s="7">
        <v>45133.0</v>
      </c>
      <c r="B895" s="8" t="s">
        <v>37</v>
      </c>
      <c r="C895" s="11">
        <v>1864.0</v>
      </c>
      <c r="D895" s="10">
        <v>30.0</v>
      </c>
      <c r="E895" s="10">
        <v>173.0</v>
      </c>
      <c r="F895" s="10">
        <v>2023.0</v>
      </c>
      <c r="G895" s="10"/>
    </row>
    <row r="896">
      <c r="A896" s="7">
        <v>45133.0</v>
      </c>
      <c r="B896" s="8" t="s">
        <v>49</v>
      </c>
      <c r="C896" s="9">
        <v>349.0</v>
      </c>
      <c r="D896" s="10">
        <v>30.0</v>
      </c>
      <c r="E896" s="10">
        <v>173.0</v>
      </c>
      <c r="F896" s="10">
        <v>2023.0</v>
      </c>
      <c r="G896" s="10"/>
    </row>
    <row r="897">
      <c r="A897" s="7">
        <v>45133.0</v>
      </c>
      <c r="B897" s="8" t="s">
        <v>34</v>
      </c>
      <c r="C897" s="9">
        <v>855.0</v>
      </c>
      <c r="D897" s="10">
        <v>30.0</v>
      </c>
      <c r="E897" s="10">
        <v>173.0</v>
      </c>
      <c r="F897" s="10">
        <v>2023.0</v>
      </c>
      <c r="G897" s="10"/>
    </row>
    <row r="898">
      <c r="A898" s="7">
        <v>45133.0</v>
      </c>
      <c r="B898" s="8" t="s">
        <v>44</v>
      </c>
      <c r="C898" s="9">
        <v>923.0</v>
      </c>
      <c r="D898" s="10">
        <v>30.0</v>
      </c>
      <c r="E898" s="10">
        <v>173.0</v>
      </c>
      <c r="F898" s="10">
        <v>2023.0</v>
      </c>
      <c r="G898" s="10"/>
    </row>
    <row r="899">
      <c r="A899" s="7">
        <v>45133.0</v>
      </c>
      <c r="B899" s="8" t="s">
        <v>40</v>
      </c>
      <c r="C899" s="9">
        <v>690.0</v>
      </c>
      <c r="D899" s="10">
        <v>30.0</v>
      </c>
      <c r="E899" s="10">
        <v>173.0</v>
      </c>
      <c r="F899" s="10">
        <v>2023.0</v>
      </c>
      <c r="G899" s="10"/>
    </row>
    <row r="900">
      <c r="A900" s="7">
        <v>45133.0</v>
      </c>
      <c r="B900" s="8" t="s">
        <v>43</v>
      </c>
      <c r="C900" s="9">
        <v>127.0</v>
      </c>
      <c r="D900" s="10">
        <v>30.0</v>
      </c>
      <c r="E900" s="10">
        <v>173.0</v>
      </c>
      <c r="F900" s="10">
        <v>2023.0</v>
      </c>
      <c r="G900" s="10"/>
    </row>
    <row r="901">
      <c r="A901" s="7">
        <v>45140.0</v>
      </c>
      <c r="B901" s="8" t="s">
        <v>35</v>
      </c>
      <c r="C901" s="11">
        <v>1528.0</v>
      </c>
      <c r="D901" s="10">
        <v>31.0</v>
      </c>
      <c r="E901" s="10">
        <v>174.0</v>
      </c>
      <c r="F901" s="10">
        <v>2023.0</v>
      </c>
      <c r="G901" s="10"/>
    </row>
    <row r="902">
      <c r="A902" s="7">
        <v>45140.0</v>
      </c>
      <c r="B902" s="8" t="s">
        <v>36</v>
      </c>
      <c r="C902" s="11">
        <v>2480.0</v>
      </c>
      <c r="D902" s="10">
        <v>31.0</v>
      </c>
      <c r="E902" s="10">
        <v>174.0</v>
      </c>
      <c r="F902" s="10">
        <v>2023.0</v>
      </c>
      <c r="G902" s="10"/>
    </row>
    <row r="903">
      <c r="A903" s="7">
        <v>45140.0</v>
      </c>
      <c r="B903" s="8" t="s">
        <v>37</v>
      </c>
      <c r="C903" s="9">
        <v>862.0</v>
      </c>
      <c r="D903" s="10">
        <v>31.0</v>
      </c>
      <c r="E903" s="10">
        <v>174.0</v>
      </c>
      <c r="F903" s="10">
        <v>2023.0</v>
      </c>
      <c r="G903" s="10"/>
    </row>
    <row r="904">
      <c r="A904" s="7">
        <v>45140.0</v>
      </c>
      <c r="B904" s="8" t="s">
        <v>49</v>
      </c>
      <c r="C904" s="9">
        <v>235.0</v>
      </c>
      <c r="D904" s="10">
        <v>31.0</v>
      </c>
      <c r="E904" s="10">
        <v>174.0</v>
      </c>
      <c r="F904" s="10">
        <v>2023.0</v>
      </c>
      <c r="G904" s="10"/>
    </row>
    <row r="905">
      <c r="A905" s="7">
        <v>45140.0</v>
      </c>
      <c r="B905" s="8" t="s">
        <v>34</v>
      </c>
      <c r="C905" s="9">
        <v>555.0</v>
      </c>
      <c r="D905" s="10">
        <v>31.0</v>
      </c>
      <c r="E905" s="10">
        <v>174.0</v>
      </c>
      <c r="F905" s="10">
        <v>2023.0</v>
      </c>
      <c r="G905" s="10"/>
    </row>
    <row r="906">
      <c r="A906" s="7">
        <v>45140.0</v>
      </c>
      <c r="B906" s="8" t="s">
        <v>44</v>
      </c>
      <c r="C906" s="9">
        <v>214.0</v>
      </c>
      <c r="D906" s="10">
        <v>31.0</v>
      </c>
      <c r="E906" s="10">
        <v>174.0</v>
      </c>
      <c r="F906" s="10">
        <v>2023.0</v>
      </c>
      <c r="G906" s="10"/>
    </row>
    <row r="907">
      <c r="A907" s="7">
        <v>45140.0</v>
      </c>
      <c r="B907" s="8" t="s">
        <v>40</v>
      </c>
      <c r="C907" s="9">
        <v>522.0</v>
      </c>
      <c r="D907" s="10">
        <v>31.0</v>
      </c>
      <c r="E907" s="10">
        <v>174.0</v>
      </c>
      <c r="F907" s="10">
        <v>2023.0</v>
      </c>
      <c r="G907" s="10"/>
    </row>
    <row r="908">
      <c r="A908" s="7">
        <v>45140.0</v>
      </c>
      <c r="B908" s="8" t="s">
        <v>43</v>
      </c>
      <c r="C908" s="9">
        <v>128.0</v>
      </c>
      <c r="D908" s="10">
        <v>31.0</v>
      </c>
      <c r="E908" s="10">
        <v>174.0</v>
      </c>
      <c r="F908" s="10">
        <v>2023.0</v>
      </c>
      <c r="G908" s="10"/>
    </row>
    <row r="909">
      <c r="A909" s="7">
        <v>45147.0</v>
      </c>
      <c r="B909" s="8" t="s">
        <v>35</v>
      </c>
      <c r="C909" s="11">
        <v>1962.0</v>
      </c>
      <c r="D909" s="10">
        <v>32.0</v>
      </c>
      <c r="E909" s="10">
        <v>175.0</v>
      </c>
      <c r="F909" s="10">
        <v>2023.0</v>
      </c>
      <c r="G909" s="10"/>
    </row>
    <row r="910">
      <c r="A910" s="7">
        <v>45147.0</v>
      </c>
      <c r="B910" s="8" t="s">
        <v>36</v>
      </c>
      <c r="C910" s="11">
        <v>1777.0</v>
      </c>
      <c r="D910" s="10">
        <v>32.0</v>
      </c>
      <c r="E910" s="10">
        <v>175.0</v>
      </c>
      <c r="F910" s="10">
        <v>2023.0</v>
      </c>
      <c r="G910" s="10"/>
    </row>
    <row r="911">
      <c r="A911" s="7">
        <v>45147.0</v>
      </c>
      <c r="B911" s="8" t="s">
        <v>37</v>
      </c>
      <c r="C911" s="11">
        <v>1105.0</v>
      </c>
      <c r="D911" s="10">
        <v>32.0</v>
      </c>
      <c r="E911" s="10">
        <v>175.0</v>
      </c>
      <c r="F911" s="10">
        <v>2023.0</v>
      </c>
      <c r="G911" s="10"/>
    </row>
    <row r="912">
      <c r="A912" s="7">
        <v>45147.0</v>
      </c>
      <c r="B912" s="8" t="s">
        <v>49</v>
      </c>
      <c r="C912" s="9">
        <v>206.0</v>
      </c>
      <c r="D912" s="10">
        <v>32.0</v>
      </c>
      <c r="E912" s="10">
        <v>175.0</v>
      </c>
      <c r="F912" s="10">
        <v>2023.0</v>
      </c>
      <c r="G912" s="10"/>
    </row>
    <row r="913">
      <c r="A913" s="7">
        <v>45147.0</v>
      </c>
      <c r="B913" s="8" t="s">
        <v>34</v>
      </c>
      <c r="C913" s="9">
        <v>432.0</v>
      </c>
      <c r="D913" s="10">
        <v>32.0</v>
      </c>
      <c r="E913" s="10">
        <v>175.0</v>
      </c>
      <c r="F913" s="10">
        <v>2023.0</v>
      </c>
      <c r="G913" s="10"/>
    </row>
    <row r="914">
      <c r="A914" s="7">
        <v>45147.0</v>
      </c>
      <c r="B914" s="8" t="s">
        <v>44</v>
      </c>
      <c r="C914" s="9">
        <v>362.0</v>
      </c>
      <c r="D914" s="10">
        <v>32.0</v>
      </c>
      <c r="E914" s="10">
        <v>175.0</v>
      </c>
      <c r="F914" s="10">
        <v>2023.0</v>
      </c>
      <c r="G914" s="10"/>
    </row>
    <row r="915">
      <c r="A915" s="7">
        <v>45147.0</v>
      </c>
      <c r="B915" s="8" t="s">
        <v>40</v>
      </c>
      <c r="C915" s="9">
        <v>457.0</v>
      </c>
      <c r="D915" s="10">
        <v>32.0</v>
      </c>
      <c r="E915" s="10">
        <v>175.0</v>
      </c>
      <c r="F915" s="10">
        <v>2023.0</v>
      </c>
      <c r="G915" s="10"/>
    </row>
    <row r="916">
      <c r="A916" s="7">
        <v>45147.0</v>
      </c>
      <c r="B916" s="8" t="s">
        <v>43</v>
      </c>
      <c r="C916" s="9">
        <v>230.0</v>
      </c>
      <c r="D916" s="10">
        <v>32.0</v>
      </c>
      <c r="E916" s="10">
        <v>175.0</v>
      </c>
      <c r="F916" s="10">
        <v>2023.0</v>
      </c>
      <c r="G916" s="10"/>
    </row>
    <row r="917">
      <c r="A917" s="7">
        <v>45154.0</v>
      </c>
      <c r="B917" s="8" t="s">
        <v>35</v>
      </c>
      <c r="C917" s="11">
        <v>1292.0</v>
      </c>
      <c r="D917" s="10">
        <v>33.0</v>
      </c>
      <c r="E917" s="10">
        <v>176.0</v>
      </c>
      <c r="F917" s="10">
        <v>2023.0</v>
      </c>
      <c r="G917" s="10"/>
    </row>
    <row r="918">
      <c r="A918" s="7">
        <v>45154.0</v>
      </c>
      <c r="B918" s="8" t="s">
        <v>41</v>
      </c>
      <c r="C918" s="9">
        <v>66.0</v>
      </c>
      <c r="D918" s="10">
        <v>33.0</v>
      </c>
      <c r="E918" s="10">
        <v>176.0</v>
      </c>
      <c r="F918" s="10">
        <v>2023.0</v>
      </c>
      <c r="G918" s="10"/>
    </row>
    <row r="919">
      <c r="A919" s="7">
        <v>45154.0</v>
      </c>
      <c r="B919" s="8" t="s">
        <v>36</v>
      </c>
      <c r="C919" s="11">
        <v>2218.0</v>
      </c>
      <c r="D919" s="10">
        <v>33.0</v>
      </c>
      <c r="E919" s="10">
        <v>176.0</v>
      </c>
      <c r="F919" s="10">
        <v>2023.0</v>
      </c>
      <c r="G919" s="10"/>
    </row>
    <row r="920">
      <c r="A920" s="7">
        <v>45154.0</v>
      </c>
      <c r="B920" s="8" t="s">
        <v>37</v>
      </c>
      <c r="C920" s="11">
        <v>1570.0</v>
      </c>
      <c r="D920" s="10">
        <v>33.0</v>
      </c>
      <c r="E920" s="10">
        <v>176.0</v>
      </c>
      <c r="F920" s="10">
        <v>2023.0</v>
      </c>
      <c r="G920" s="10"/>
    </row>
    <row r="921">
      <c r="A921" s="7">
        <v>45154.0</v>
      </c>
      <c r="B921" s="8" t="s">
        <v>49</v>
      </c>
      <c r="C921" s="9">
        <v>190.0</v>
      </c>
      <c r="D921" s="10">
        <v>33.0</v>
      </c>
      <c r="E921" s="10">
        <v>176.0</v>
      </c>
      <c r="F921" s="10">
        <v>2023.0</v>
      </c>
      <c r="G921" s="10"/>
    </row>
    <row r="922">
      <c r="A922" s="7">
        <v>45154.0</v>
      </c>
      <c r="B922" s="8" t="s">
        <v>34</v>
      </c>
      <c r="C922" s="11">
        <v>7479.0</v>
      </c>
      <c r="D922" s="10">
        <v>33.0</v>
      </c>
      <c r="E922" s="10">
        <v>176.0</v>
      </c>
      <c r="F922" s="10">
        <v>2023.0</v>
      </c>
      <c r="G922" s="10"/>
    </row>
    <row r="923">
      <c r="A923" s="7">
        <v>45154.0</v>
      </c>
      <c r="B923" s="8" t="s">
        <v>44</v>
      </c>
      <c r="C923" s="9">
        <v>245.0</v>
      </c>
      <c r="D923" s="10">
        <v>33.0</v>
      </c>
      <c r="E923" s="10">
        <v>176.0</v>
      </c>
      <c r="F923" s="10">
        <v>2023.0</v>
      </c>
      <c r="G923" s="10"/>
    </row>
    <row r="924">
      <c r="A924" s="7">
        <v>45154.0</v>
      </c>
      <c r="B924" s="8" t="s">
        <v>40</v>
      </c>
      <c r="C924" s="9">
        <v>298.0</v>
      </c>
      <c r="D924" s="10">
        <v>33.0</v>
      </c>
      <c r="E924" s="10">
        <v>176.0</v>
      </c>
      <c r="F924" s="10">
        <v>2023.0</v>
      </c>
      <c r="G924" s="10"/>
    </row>
    <row r="925">
      <c r="A925" s="7">
        <v>45154.0</v>
      </c>
      <c r="B925" s="8" t="s">
        <v>43</v>
      </c>
      <c r="C925" s="9">
        <v>162.0</v>
      </c>
      <c r="D925" s="10">
        <v>33.0</v>
      </c>
      <c r="E925" s="10">
        <v>176.0</v>
      </c>
      <c r="F925" s="10">
        <v>2023.0</v>
      </c>
      <c r="G925" s="10"/>
    </row>
    <row r="926">
      <c r="A926" s="7">
        <v>45162.0</v>
      </c>
      <c r="B926" s="8" t="s">
        <v>35</v>
      </c>
      <c r="C926" s="11">
        <v>1276.0</v>
      </c>
      <c r="D926" s="10">
        <v>34.0</v>
      </c>
      <c r="E926" s="10">
        <v>177.0</v>
      </c>
      <c r="F926" s="10">
        <v>2023.0</v>
      </c>
      <c r="G926" s="10"/>
    </row>
    <row r="927">
      <c r="A927" s="7">
        <v>45162.0</v>
      </c>
      <c r="B927" s="8" t="s">
        <v>41</v>
      </c>
      <c r="C927" s="9">
        <v>97.0</v>
      </c>
      <c r="D927" s="10">
        <v>34.0</v>
      </c>
      <c r="E927" s="10">
        <v>177.0</v>
      </c>
      <c r="F927" s="10">
        <v>2023.0</v>
      </c>
      <c r="G927" s="10"/>
    </row>
    <row r="928">
      <c r="A928" s="7">
        <v>45162.0</v>
      </c>
      <c r="B928" s="8" t="s">
        <v>36</v>
      </c>
      <c r="C928" s="11">
        <v>1650.0</v>
      </c>
      <c r="D928" s="10">
        <v>34.0</v>
      </c>
      <c r="E928" s="10">
        <v>177.0</v>
      </c>
      <c r="F928" s="10">
        <v>2023.0</v>
      </c>
      <c r="G928" s="10"/>
    </row>
    <row r="929">
      <c r="A929" s="7">
        <v>45162.0</v>
      </c>
      <c r="B929" s="8" t="s">
        <v>37</v>
      </c>
      <c r="C929" s="9">
        <v>970.0</v>
      </c>
      <c r="D929" s="10">
        <v>34.0</v>
      </c>
      <c r="E929" s="10">
        <v>177.0</v>
      </c>
      <c r="F929" s="10">
        <v>2023.0</v>
      </c>
      <c r="G929" s="10"/>
    </row>
    <row r="930">
      <c r="A930" s="7">
        <v>45162.0</v>
      </c>
      <c r="B930" s="8" t="s">
        <v>49</v>
      </c>
      <c r="C930" s="9">
        <v>346.0</v>
      </c>
      <c r="D930" s="10">
        <v>34.0</v>
      </c>
      <c r="E930" s="10">
        <v>177.0</v>
      </c>
      <c r="F930" s="10">
        <v>2023.0</v>
      </c>
      <c r="G930" s="10"/>
    </row>
    <row r="931">
      <c r="A931" s="7">
        <v>45162.0</v>
      </c>
      <c r="B931" s="8" t="s">
        <v>34</v>
      </c>
      <c r="C931" s="11">
        <v>1235.0</v>
      </c>
      <c r="D931" s="10">
        <v>34.0</v>
      </c>
      <c r="E931" s="10">
        <v>177.0</v>
      </c>
      <c r="F931" s="10">
        <v>2023.0</v>
      </c>
      <c r="G931" s="10"/>
    </row>
    <row r="932">
      <c r="A932" s="7">
        <v>45162.0</v>
      </c>
      <c r="B932" s="8" t="s">
        <v>44</v>
      </c>
      <c r="C932" s="9">
        <v>237.0</v>
      </c>
      <c r="D932" s="10">
        <v>34.0</v>
      </c>
      <c r="E932" s="10">
        <v>177.0</v>
      </c>
      <c r="F932" s="10">
        <v>2023.0</v>
      </c>
      <c r="G932" s="10"/>
    </row>
    <row r="933">
      <c r="A933" s="7">
        <v>45162.0</v>
      </c>
      <c r="B933" s="8" t="s">
        <v>40</v>
      </c>
      <c r="C933" s="9">
        <v>579.0</v>
      </c>
      <c r="D933" s="10">
        <v>34.0</v>
      </c>
      <c r="E933" s="10">
        <v>177.0</v>
      </c>
      <c r="F933" s="10">
        <v>2023.0</v>
      </c>
      <c r="G933" s="10"/>
    </row>
    <row r="934">
      <c r="A934" s="7">
        <v>45162.0</v>
      </c>
      <c r="B934" s="8" t="s">
        <v>43</v>
      </c>
      <c r="C934" s="9">
        <v>172.0</v>
      </c>
      <c r="D934" s="10">
        <v>34.0</v>
      </c>
      <c r="E934" s="10">
        <v>177.0</v>
      </c>
      <c r="F934" s="10">
        <v>2023.0</v>
      </c>
      <c r="G934" s="10"/>
    </row>
    <row r="935">
      <c r="A935" s="7">
        <v>45168.0</v>
      </c>
      <c r="B935" s="8" t="s">
        <v>35</v>
      </c>
      <c r="C935" s="11">
        <v>1090.0</v>
      </c>
      <c r="D935" s="10">
        <v>35.0</v>
      </c>
      <c r="E935" s="10">
        <v>178.0</v>
      </c>
      <c r="F935" s="10">
        <v>2023.0</v>
      </c>
      <c r="G935" s="10"/>
    </row>
    <row r="936">
      <c r="A936" s="7">
        <v>45168.0</v>
      </c>
      <c r="B936" s="8" t="s">
        <v>41</v>
      </c>
      <c r="C936" s="9">
        <v>106.0</v>
      </c>
      <c r="D936" s="10">
        <v>35.0</v>
      </c>
      <c r="E936" s="10">
        <v>178.0</v>
      </c>
      <c r="F936" s="10">
        <v>2023.0</v>
      </c>
      <c r="G936" s="10"/>
    </row>
    <row r="937">
      <c r="A937" s="7">
        <v>45168.0</v>
      </c>
      <c r="B937" s="8" t="s">
        <v>36</v>
      </c>
      <c r="C937" s="11">
        <v>1182.0</v>
      </c>
      <c r="D937" s="10">
        <v>35.0</v>
      </c>
      <c r="E937" s="10">
        <v>178.0</v>
      </c>
      <c r="F937" s="10">
        <v>2023.0</v>
      </c>
      <c r="G937" s="10"/>
    </row>
    <row r="938">
      <c r="A938" s="7">
        <v>45168.0</v>
      </c>
      <c r="B938" s="8" t="s">
        <v>37</v>
      </c>
      <c r="C938" s="11">
        <v>1095.0</v>
      </c>
      <c r="D938" s="10">
        <v>35.0</v>
      </c>
      <c r="E938" s="10">
        <v>178.0</v>
      </c>
      <c r="F938" s="10">
        <v>2023.0</v>
      </c>
      <c r="G938" s="10"/>
    </row>
    <row r="939">
      <c r="A939" s="7">
        <v>45168.0</v>
      </c>
      <c r="B939" s="8" t="s">
        <v>49</v>
      </c>
      <c r="C939" s="9">
        <v>349.0</v>
      </c>
      <c r="D939" s="10">
        <v>35.0</v>
      </c>
      <c r="E939" s="10">
        <v>178.0</v>
      </c>
      <c r="F939" s="10">
        <v>2023.0</v>
      </c>
      <c r="G939" s="10"/>
    </row>
    <row r="940">
      <c r="A940" s="7">
        <v>45168.0</v>
      </c>
      <c r="B940" s="8" t="s">
        <v>34</v>
      </c>
      <c r="C940" s="11">
        <v>1485.0</v>
      </c>
      <c r="D940" s="10">
        <v>35.0</v>
      </c>
      <c r="E940" s="10">
        <v>178.0</v>
      </c>
      <c r="F940" s="10">
        <v>2023.0</v>
      </c>
      <c r="G940" s="10"/>
    </row>
    <row r="941">
      <c r="A941" s="7">
        <v>45168.0</v>
      </c>
      <c r="B941" s="8" t="s">
        <v>44</v>
      </c>
      <c r="C941" s="9">
        <v>178.0</v>
      </c>
      <c r="D941" s="10">
        <v>35.0</v>
      </c>
      <c r="E941" s="10">
        <v>178.0</v>
      </c>
      <c r="F941" s="10">
        <v>2023.0</v>
      </c>
      <c r="G941" s="10"/>
    </row>
    <row r="942">
      <c r="A942" s="7">
        <v>45168.0</v>
      </c>
      <c r="B942" s="8" t="s">
        <v>40</v>
      </c>
      <c r="C942" s="9">
        <v>459.0</v>
      </c>
      <c r="D942" s="10">
        <v>35.0</v>
      </c>
      <c r="E942" s="10">
        <v>178.0</v>
      </c>
      <c r="F942" s="10">
        <v>2023.0</v>
      </c>
      <c r="G942" s="10"/>
    </row>
    <row r="943">
      <c r="A943" s="7">
        <v>45168.0</v>
      </c>
      <c r="B943" s="8" t="s">
        <v>43</v>
      </c>
      <c r="C943" s="9">
        <v>116.0</v>
      </c>
      <c r="D943" s="10">
        <v>35.0</v>
      </c>
      <c r="E943" s="10">
        <v>178.0</v>
      </c>
      <c r="F943" s="10">
        <v>2023.0</v>
      </c>
      <c r="G943" s="10"/>
    </row>
    <row r="944">
      <c r="A944" s="7">
        <v>45175.0</v>
      </c>
      <c r="B944" s="8" t="s">
        <v>35</v>
      </c>
      <c r="C944" s="11">
        <v>2262.0</v>
      </c>
      <c r="D944" s="10">
        <v>36.0</v>
      </c>
      <c r="E944" s="10">
        <v>179.0</v>
      </c>
      <c r="F944" s="10">
        <v>2023.0</v>
      </c>
      <c r="G944" s="10"/>
    </row>
    <row r="945">
      <c r="A945" s="7">
        <v>45175.0</v>
      </c>
      <c r="B945" s="8" t="s">
        <v>41</v>
      </c>
      <c r="C945" s="9">
        <v>92.0</v>
      </c>
      <c r="D945" s="10">
        <v>36.0</v>
      </c>
      <c r="E945" s="10">
        <v>179.0</v>
      </c>
      <c r="F945" s="10">
        <v>2023.0</v>
      </c>
      <c r="G945" s="10"/>
    </row>
    <row r="946">
      <c r="A946" s="7">
        <v>45175.0</v>
      </c>
      <c r="B946" s="8" t="s">
        <v>36</v>
      </c>
      <c r="C946" s="11">
        <v>1881.0</v>
      </c>
      <c r="D946" s="10">
        <v>36.0</v>
      </c>
      <c r="E946" s="10">
        <v>179.0</v>
      </c>
      <c r="F946" s="10">
        <v>2023.0</v>
      </c>
      <c r="G946" s="10"/>
    </row>
    <row r="947">
      <c r="A947" s="7">
        <v>45175.0</v>
      </c>
      <c r="B947" s="8" t="s">
        <v>37</v>
      </c>
      <c r="C947" s="11">
        <v>1060.0</v>
      </c>
      <c r="D947" s="10">
        <v>36.0</v>
      </c>
      <c r="E947" s="10">
        <v>179.0</v>
      </c>
      <c r="F947" s="10">
        <v>2023.0</v>
      </c>
      <c r="G947" s="10"/>
    </row>
    <row r="948">
      <c r="A948" s="7">
        <v>45175.0</v>
      </c>
      <c r="B948" s="8" t="s">
        <v>49</v>
      </c>
      <c r="C948" s="9">
        <v>249.0</v>
      </c>
      <c r="D948" s="10">
        <v>36.0</v>
      </c>
      <c r="E948" s="10">
        <v>179.0</v>
      </c>
      <c r="F948" s="10">
        <v>2023.0</v>
      </c>
      <c r="G948" s="10"/>
    </row>
    <row r="949">
      <c r="A949" s="7">
        <v>45175.0</v>
      </c>
      <c r="B949" s="8" t="s">
        <v>34</v>
      </c>
      <c r="C949" s="11">
        <v>1106.0</v>
      </c>
      <c r="D949" s="10">
        <v>36.0</v>
      </c>
      <c r="E949" s="10">
        <v>179.0</v>
      </c>
      <c r="F949" s="10">
        <v>2023.0</v>
      </c>
      <c r="G949" s="10"/>
    </row>
    <row r="950">
      <c r="A950" s="7">
        <v>45175.0</v>
      </c>
      <c r="B950" s="8" t="s">
        <v>44</v>
      </c>
      <c r="C950" s="9">
        <v>400.0</v>
      </c>
      <c r="D950" s="10">
        <v>36.0</v>
      </c>
      <c r="E950" s="10">
        <v>179.0</v>
      </c>
      <c r="F950" s="10">
        <v>2023.0</v>
      </c>
      <c r="G950" s="10"/>
    </row>
    <row r="951">
      <c r="A951" s="7">
        <v>45175.0</v>
      </c>
      <c r="B951" s="8" t="s">
        <v>40</v>
      </c>
      <c r="C951" s="9">
        <v>305.0</v>
      </c>
      <c r="D951" s="10">
        <v>36.0</v>
      </c>
      <c r="E951" s="10">
        <v>179.0</v>
      </c>
      <c r="F951" s="10">
        <v>2023.0</v>
      </c>
      <c r="G951" s="10"/>
    </row>
    <row r="952">
      <c r="A952" s="7">
        <v>45175.0</v>
      </c>
      <c r="B952" s="8" t="s">
        <v>43</v>
      </c>
      <c r="C952" s="9">
        <v>80.0</v>
      </c>
      <c r="D952" s="10">
        <v>36.0</v>
      </c>
      <c r="E952" s="10">
        <v>179.0</v>
      </c>
      <c r="F952" s="10">
        <v>2023.0</v>
      </c>
      <c r="G952" s="10"/>
    </row>
    <row r="953">
      <c r="A953" s="7">
        <v>45182.0</v>
      </c>
      <c r="B953" s="8" t="s">
        <v>35</v>
      </c>
      <c r="C953" s="9">
        <v>615.0</v>
      </c>
      <c r="D953" s="10">
        <v>37.0</v>
      </c>
      <c r="E953" s="10">
        <v>180.0</v>
      </c>
      <c r="F953" s="10">
        <v>2023.0</v>
      </c>
      <c r="G953" s="10"/>
    </row>
    <row r="954">
      <c r="A954" s="7">
        <v>45182.0</v>
      </c>
      <c r="B954" s="8" t="s">
        <v>41</v>
      </c>
      <c r="C954" s="9">
        <v>82.0</v>
      </c>
      <c r="D954" s="10">
        <v>37.0</v>
      </c>
      <c r="E954" s="10">
        <v>180.0</v>
      </c>
      <c r="F954" s="10">
        <v>2023.0</v>
      </c>
      <c r="G954" s="10"/>
    </row>
    <row r="955">
      <c r="A955" s="7">
        <v>45182.0</v>
      </c>
      <c r="B955" s="8" t="s">
        <v>36</v>
      </c>
      <c r="C955" s="11">
        <v>2090.0</v>
      </c>
      <c r="D955" s="10">
        <v>37.0</v>
      </c>
      <c r="E955" s="10">
        <v>180.0</v>
      </c>
      <c r="F955" s="10">
        <v>2023.0</v>
      </c>
      <c r="G955" s="10"/>
    </row>
    <row r="956">
      <c r="A956" s="7">
        <v>45182.0</v>
      </c>
      <c r="B956" s="8" t="s">
        <v>37</v>
      </c>
      <c r="C956" s="11">
        <v>1605.0</v>
      </c>
      <c r="D956" s="10">
        <v>37.0</v>
      </c>
      <c r="E956" s="10">
        <v>180.0</v>
      </c>
      <c r="F956" s="10">
        <v>2023.0</v>
      </c>
      <c r="G956" s="10"/>
    </row>
    <row r="957">
      <c r="A957" s="7">
        <v>45182.0</v>
      </c>
      <c r="B957" s="8" t="s">
        <v>49</v>
      </c>
      <c r="C957" s="9">
        <v>200.0</v>
      </c>
      <c r="D957" s="10">
        <v>37.0</v>
      </c>
      <c r="E957" s="10">
        <v>180.0</v>
      </c>
      <c r="F957" s="10">
        <v>2023.0</v>
      </c>
      <c r="G957" s="10"/>
    </row>
    <row r="958">
      <c r="A958" s="7">
        <v>45182.0</v>
      </c>
      <c r="B958" s="8" t="s">
        <v>34</v>
      </c>
      <c r="C958" s="11">
        <v>2045.0</v>
      </c>
      <c r="D958" s="10">
        <v>37.0</v>
      </c>
      <c r="E958" s="10">
        <v>180.0</v>
      </c>
      <c r="F958" s="10">
        <v>2023.0</v>
      </c>
      <c r="G958" s="10"/>
    </row>
    <row r="959">
      <c r="A959" s="7">
        <v>45182.0</v>
      </c>
      <c r="B959" s="8" t="s">
        <v>44</v>
      </c>
      <c r="C959" s="9">
        <v>746.0</v>
      </c>
      <c r="D959" s="10">
        <v>37.0</v>
      </c>
      <c r="E959" s="10">
        <v>180.0</v>
      </c>
      <c r="F959" s="10">
        <v>2023.0</v>
      </c>
      <c r="G959" s="10"/>
    </row>
    <row r="960">
      <c r="A960" s="7">
        <v>45182.0</v>
      </c>
      <c r="B960" s="8" t="s">
        <v>40</v>
      </c>
      <c r="C960" s="9">
        <v>888.0</v>
      </c>
      <c r="D960" s="10">
        <v>37.0</v>
      </c>
      <c r="E960" s="10">
        <v>180.0</v>
      </c>
      <c r="F960" s="10">
        <v>2023.0</v>
      </c>
      <c r="G960" s="10"/>
    </row>
    <row r="961">
      <c r="A961" s="7">
        <v>45182.0</v>
      </c>
      <c r="B961" s="8" t="s">
        <v>43</v>
      </c>
      <c r="C961" s="9">
        <v>228.0</v>
      </c>
      <c r="D961" s="10">
        <v>37.0</v>
      </c>
      <c r="E961" s="10">
        <v>180.0</v>
      </c>
      <c r="F961" s="10">
        <v>2023.0</v>
      </c>
      <c r="G961" s="10"/>
    </row>
    <row r="962">
      <c r="A962" s="7">
        <v>45189.0</v>
      </c>
      <c r="B962" s="8" t="s">
        <v>35</v>
      </c>
      <c r="C962" s="11">
        <v>1842.0</v>
      </c>
      <c r="D962" s="10">
        <v>38.0</v>
      </c>
      <c r="E962" s="10">
        <v>181.0</v>
      </c>
      <c r="F962" s="10">
        <v>2023.0</v>
      </c>
      <c r="G962" s="10"/>
    </row>
    <row r="963">
      <c r="A963" s="7">
        <v>45189.0</v>
      </c>
      <c r="B963" s="8" t="s">
        <v>36</v>
      </c>
      <c r="C963" s="11">
        <v>2138.0</v>
      </c>
      <c r="D963" s="10">
        <v>38.0</v>
      </c>
      <c r="E963" s="10">
        <v>181.0</v>
      </c>
      <c r="F963" s="10">
        <v>2023.0</v>
      </c>
      <c r="G963" s="10"/>
    </row>
    <row r="964">
      <c r="A964" s="7">
        <v>45189.0</v>
      </c>
      <c r="B964" s="8" t="s">
        <v>37</v>
      </c>
      <c r="C964" s="11">
        <v>1614.0</v>
      </c>
      <c r="D964" s="10">
        <v>38.0</v>
      </c>
      <c r="E964" s="10">
        <v>181.0</v>
      </c>
      <c r="F964" s="10">
        <v>2023.0</v>
      </c>
      <c r="G964" s="10"/>
    </row>
    <row r="965">
      <c r="A965" s="7">
        <v>45189.0</v>
      </c>
      <c r="B965" s="8" t="s">
        <v>49</v>
      </c>
      <c r="C965" s="9">
        <v>635.0</v>
      </c>
      <c r="D965" s="10">
        <v>38.0</v>
      </c>
      <c r="E965" s="10">
        <v>181.0</v>
      </c>
      <c r="F965" s="10">
        <v>2023.0</v>
      </c>
      <c r="G965" s="10"/>
    </row>
    <row r="966">
      <c r="A966" s="7">
        <v>45189.0</v>
      </c>
      <c r="B966" s="8" t="s">
        <v>34</v>
      </c>
      <c r="C966" s="11">
        <v>1178.0</v>
      </c>
      <c r="D966" s="10">
        <v>38.0</v>
      </c>
      <c r="E966" s="10">
        <v>181.0</v>
      </c>
      <c r="F966" s="10">
        <v>2023.0</v>
      </c>
      <c r="G966" s="10"/>
    </row>
    <row r="967">
      <c r="A967" s="7">
        <v>45189.0</v>
      </c>
      <c r="B967" s="8" t="s">
        <v>44</v>
      </c>
      <c r="C967" s="9">
        <v>437.0</v>
      </c>
      <c r="D967" s="10">
        <v>38.0</v>
      </c>
      <c r="E967" s="10">
        <v>181.0</v>
      </c>
      <c r="F967" s="10">
        <v>2023.0</v>
      </c>
      <c r="G967" s="10"/>
    </row>
    <row r="968">
      <c r="A968" s="7">
        <v>45189.0</v>
      </c>
      <c r="B968" s="8" t="s">
        <v>40</v>
      </c>
      <c r="C968" s="9">
        <v>495.0</v>
      </c>
      <c r="D968" s="10">
        <v>38.0</v>
      </c>
      <c r="E968" s="10">
        <v>181.0</v>
      </c>
      <c r="F968" s="10">
        <v>2023.0</v>
      </c>
      <c r="G968" s="10"/>
    </row>
    <row r="969">
      <c r="A969" s="7">
        <v>45189.0</v>
      </c>
      <c r="B969" s="8" t="s">
        <v>43</v>
      </c>
      <c r="C969" s="9">
        <v>109.0</v>
      </c>
      <c r="D969" s="10">
        <v>38.0</v>
      </c>
      <c r="E969" s="10">
        <v>181.0</v>
      </c>
      <c r="F969" s="10">
        <v>2023.0</v>
      </c>
      <c r="G969" s="10"/>
    </row>
    <row r="970">
      <c r="A970" s="7">
        <v>45196.0</v>
      </c>
      <c r="B970" s="8" t="s">
        <v>35</v>
      </c>
      <c r="C970" s="11">
        <v>1922.0</v>
      </c>
      <c r="D970" s="10">
        <v>39.0</v>
      </c>
      <c r="E970" s="10">
        <v>182.0</v>
      </c>
      <c r="F970" s="10">
        <v>2023.0</v>
      </c>
      <c r="G970" s="10"/>
    </row>
    <row r="971">
      <c r="A971" s="7">
        <v>45196.0</v>
      </c>
      <c r="B971" s="8" t="s">
        <v>41</v>
      </c>
      <c r="C971" s="9">
        <v>142.0</v>
      </c>
      <c r="D971" s="10">
        <v>39.0</v>
      </c>
      <c r="E971" s="10">
        <v>182.0</v>
      </c>
      <c r="F971" s="10">
        <v>2023.0</v>
      </c>
      <c r="G971" s="10"/>
    </row>
    <row r="972">
      <c r="A972" s="7">
        <v>45196.0</v>
      </c>
      <c r="B972" s="8" t="s">
        <v>36</v>
      </c>
      <c r="C972" s="11">
        <v>1520.0</v>
      </c>
      <c r="D972" s="10">
        <v>39.0</v>
      </c>
      <c r="E972" s="10">
        <v>182.0</v>
      </c>
      <c r="F972" s="10">
        <v>2023.0</v>
      </c>
      <c r="G972" s="10"/>
    </row>
    <row r="973">
      <c r="A973" s="7">
        <v>45196.0</v>
      </c>
      <c r="B973" s="8" t="s">
        <v>37</v>
      </c>
      <c r="C973" s="9">
        <v>869.0</v>
      </c>
      <c r="D973" s="10">
        <v>39.0</v>
      </c>
      <c r="E973" s="10">
        <v>182.0</v>
      </c>
      <c r="F973" s="10">
        <v>2023.0</v>
      </c>
      <c r="G973" s="10"/>
    </row>
    <row r="974">
      <c r="A974" s="7">
        <v>45196.0</v>
      </c>
      <c r="B974" s="8" t="s">
        <v>49</v>
      </c>
      <c r="C974" s="9">
        <v>438.0</v>
      </c>
      <c r="D974" s="10">
        <v>39.0</v>
      </c>
      <c r="E974" s="10">
        <v>182.0</v>
      </c>
      <c r="F974" s="10">
        <v>2023.0</v>
      </c>
      <c r="G974" s="10"/>
    </row>
    <row r="975">
      <c r="A975" s="7">
        <v>45196.0</v>
      </c>
      <c r="B975" s="8" t="s">
        <v>34</v>
      </c>
      <c r="C975" s="11">
        <v>3005.0</v>
      </c>
      <c r="D975" s="10">
        <v>39.0</v>
      </c>
      <c r="E975" s="10">
        <v>182.0</v>
      </c>
      <c r="F975" s="10">
        <v>2023.0</v>
      </c>
      <c r="G975" s="10"/>
    </row>
    <row r="976">
      <c r="A976" s="7">
        <v>45196.0</v>
      </c>
      <c r="B976" s="8" t="s">
        <v>44</v>
      </c>
      <c r="C976" s="9">
        <v>635.0</v>
      </c>
      <c r="D976" s="10">
        <v>39.0</v>
      </c>
      <c r="E976" s="10">
        <v>182.0</v>
      </c>
      <c r="F976" s="10">
        <v>2023.0</v>
      </c>
      <c r="G976" s="10"/>
    </row>
    <row r="977">
      <c r="A977" s="7">
        <v>45196.0</v>
      </c>
      <c r="B977" s="8" t="s">
        <v>40</v>
      </c>
      <c r="C977" s="9">
        <v>827.0</v>
      </c>
      <c r="D977" s="10">
        <v>39.0</v>
      </c>
      <c r="E977" s="10">
        <v>182.0</v>
      </c>
      <c r="F977" s="10">
        <v>2023.0</v>
      </c>
      <c r="G977" s="10"/>
    </row>
    <row r="978">
      <c r="A978" s="7">
        <v>45196.0</v>
      </c>
      <c r="B978" s="8" t="s">
        <v>43</v>
      </c>
      <c r="C978" s="9">
        <v>113.0</v>
      </c>
      <c r="D978" s="10">
        <v>39.0</v>
      </c>
      <c r="E978" s="10">
        <v>182.0</v>
      </c>
      <c r="F978" s="10">
        <v>2023.0</v>
      </c>
      <c r="G978" s="10"/>
    </row>
    <row r="979">
      <c r="A979" s="7">
        <v>45204.0</v>
      </c>
      <c r="B979" s="8" t="s">
        <v>35</v>
      </c>
      <c r="C979" s="11">
        <v>1022.0</v>
      </c>
      <c r="D979" s="10">
        <v>40.0</v>
      </c>
      <c r="E979" s="10">
        <v>183.0</v>
      </c>
      <c r="F979" s="10">
        <v>2023.0</v>
      </c>
      <c r="G979" s="10"/>
    </row>
    <row r="980">
      <c r="A980" s="7">
        <v>45204.0</v>
      </c>
      <c r="B980" s="8" t="s">
        <v>41</v>
      </c>
      <c r="C980" s="9">
        <v>125.0</v>
      </c>
      <c r="D980" s="10">
        <v>40.0</v>
      </c>
      <c r="E980" s="10">
        <v>183.0</v>
      </c>
      <c r="F980" s="10">
        <v>2023.0</v>
      </c>
      <c r="G980" s="10"/>
    </row>
    <row r="981">
      <c r="A981" s="7">
        <v>45204.0</v>
      </c>
      <c r="B981" s="8" t="s">
        <v>36</v>
      </c>
      <c r="C981" s="11">
        <v>2880.0</v>
      </c>
      <c r="D981" s="10">
        <v>40.0</v>
      </c>
      <c r="E981" s="10">
        <v>183.0</v>
      </c>
      <c r="F981" s="10">
        <v>2023.0</v>
      </c>
      <c r="G981" s="10"/>
    </row>
    <row r="982">
      <c r="A982" s="7">
        <v>45204.0</v>
      </c>
      <c r="B982" s="8" t="s">
        <v>37</v>
      </c>
      <c r="C982" s="11">
        <v>1147.0</v>
      </c>
      <c r="D982" s="10">
        <v>40.0</v>
      </c>
      <c r="E982" s="10">
        <v>183.0</v>
      </c>
      <c r="F982" s="10">
        <v>2023.0</v>
      </c>
      <c r="G982" s="10"/>
    </row>
    <row r="983">
      <c r="A983" s="7">
        <v>45204.0</v>
      </c>
      <c r="B983" s="8" t="s">
        <v>49</v>
      </c>
      <c r="C983" s="9">
        <v>409.0</v>
      </c>
      <c r="D983" s="10">
        <v>40.0</v>
      </c>
      <c r="E983" s="10">
        <v>183.0</v>
      </c>
      <c r="F983" s="10">
        <v>2023.0</v>
      </c>
      <c r="G983" s="10"/>
    </row>
    <row r="984">
      <c r="A984" s="7">
        <v>45204.0</v>
      </c>
      <c r="B984" s="8" t="s">
        <v>34</v>
      </c>
      <c r="C984" s="11">
        <v>1482.0</v>
      </c>
      <c r="D984" s="10">
        <v>40.0</v>
      </c>
      <c r="E984" s="10">
        <v>183.0</v>
      </c>
      <c r="F984" s="10">
        <v>2023.0</v>
      </c>
      <c r="G984" s="10"/>
    </row>
    <row r="985">
      <c r="A985" s="7">
        <v>45204.0</v>
      </c>
      <c r="B985" s="8" t="s">
        <v>44</v>
      </c>
      <c r="C985" s="9">
        <v>395.0</v>
      </c>
      <c r="D985" s="10">
        <v>40.0</v>
      </c>
      <c r="E985" s="10">
        <v>183.0</v>
      </c>
      <c r="F985" s="10">
        <v>2023.0</v>
      </c>
      <c r="G985" s="10"/>
    </row>
    <row r="986">
      <c r="A986" s="7">
        <v>45204.0</v>
      </c>
      <c r="B986" s="8" t="s">
        <v>40</v>
      </c>
      <c r="C986" s="9">
        <v>589.0</v>
      </c>
      <c r="D986" s="10">
        <v>40.0</v>
      </c>
      <c r="E986" s="10">
        <v>183.0</v>
      </c>
      <c r="F986" s="10">
        <v>2023.0</v>
      </c>
      <c r="G986" s="10"/>
    </row>
    <row r="987">
      <c r="A987" s="7">
        <v>45204.0</v>
      </c>
      <c r="B987" s="8" t="s">
        <v>43</v>
      </c>
      <c r="C987" s="9">
        <v>171.0</v>
      </c>
      <c r="D987" s="10">
        <v>40.0</v>
      </c>
      <c r="E987" s="10">
        <v>183.0</v>
      </c>
      <c r="F987" s="10">
        <v>2023.0</v>
      </c>
      <c r="G987" s="10"/>
    </row>
    <row r="988">
      <c r="A988" s="7">
        <v>45210.0</v>
      </c>
      <c r="B988" s="8" t="s">
        <v>35</v>
      </c>
      <c r="C988" s="11">
        <v>2187.0</v>
      </c>
      <c r="D988" s="10">
        <v>41.0</v>
      </c>
      <c r="E988" s="10">
        <v>184.0</v>
      </c>
      <c r="F988" s="10">
        <v>2023.0</v>
      </c>
      <c r="G988" s="10"/>
    </row>
    <row r="989">
      <c r="A989" s="7">
        <v>45210.0</v>
      </c>
      <c r="B989" s="8" t="s">
        <v>41</v>
      </c>
      <c r="C989" s="9">
        <v>92.0</v>
      </c>
      <c r="D989" s="10">
        <v>41.0</v>
      </c>
      <c r="E989" s="10">
        <v>184.0</v>
      </c>
      <c r="F989" s="10">
        <v>2023.0</v>
      </c>
      <c r="G989" s="10"/>
    </row>
    <row r="990">
      <c r="A990" s="7">
        <v>45210.0</v>
      </c>
      <c r="B990" s="8" t="s">
        <v>36</v>
      </c>
      <c r="C990" s="11">
        <v>1127.0</v>
      </c>
      <c r="D990" s="10">
        <v>41.0</v>
      </c>
      <c r="E990" s="10">
        <v>184.0</v>
      </c>
      <c r="F990" s="10">
        <v>2023.0</v>
      </c>
      <c r="G990" s="10"/>
    </row>
    <row r="991">
      <c r="A991" s="7">
        <v>45210.0</v>
      </c>
      <c r="B991" s="8" t="s">
        <v>37</v>
      </c>
      <c r="C991" s="11">
        <v>1605.0</v>
      </c>
      <c r="D991" s="10">
        <v>41.0</v>
      </c>
      <c r="E991" s="10">
        <v>184.0</v>
      </c>
      <c r="F991" s="10">
        <v>2023.0</v>
      </c>
      <c r="G991" s="10"/>
    </row>
    <row r="992">
      <c r="A992" s="7">
        <v>45210.0</v>
      </c>
      <c r="B992" s="8" t="s">
        <v>49</v>
      </c>
      <c r="C992" s="9">
        <v>240.0</v>
      </c>
      <c r="D992" s="10">
        <v>41.0</v>
      </c>
      <c r="E992" s="10">
        <v>184.0</v>
      </c>
      <c r="F992" s="10">
        <v>2023.0</v>
      </c>
      <c r="G992" s="10"/>
    </row>
    <row r="993">
      <c r="A993" s="7">
        <v>45210.0</v>
      </c>
      <c r="B993" s="8" t="s">
        <v>34</v>
      </c>
      <c r="C993" s="9">
        <v>194.0</v>
      </c>
      <c r="D993" s="10">
        <v>41.0</v>
      </c>
      <c r="E993" s="10">
        <v>184.0</v>
      </c>
      <c r="F993" s="10">
        <v>2023.0</v>
      </c>
      <c r="G993" s="10"/>
    </row>
    <row r="994">
      <c r="A994" s="7">
        <v>45210.0</v>
      </c>
      <c r="B994" s="8" t="s">
        <v>44</v>
      </c>
      <c r="C994" s="9">
        <v>580.0</v>
      </c>
      <c r="D994" s="10">
        <v>41.0</v>
      </c>
      <c r="E994" s="10">
        <v>184.0</v>
      </c>
      <c r="F994" s="10">
        <v>2023.0</v>
      </c>
      <c r="G994" s="10"/>
    </row>
    <row r="995">
      <c r="A995" s="7">
        <v>45210.0</v>
      </c>
      <c r="B995" s="8" t="s">
        <v>40</v>
      </c>
      <c r="C995" s="9">
        <v>444.0</v>
      </c>
      <c r="D995" s="10">
        <v>41.0</v>
      </c>
      <c r="E995" s="10">
        <v>184.0</v>
      </c>
      <c r="F995" s="10">
        <v>2023.0</v>
      </c>
      <c r="G995" s="10"/>
    </row>
    <row r="996">
      <c r="A996" s="7">
        <v>45210.0</v>
      </c>
      <c r="B996" s="8" t="s">
        <v>43</v>
      </c>
      <c r="C996" s="9">
        <v>107.0</v>
      </c>
      <c r="D996" s="10">
        <v>41.0</v>
      </c>
      <c r="E996" s="10">
        <v>184.0</v>
      </c>
      <c r="F996" s="10">
        <v>2023.0</v>
      </c>
      <c r="G996" s="10"/>
    </row>
    <row r="997">
      <c r="A997" s="7">
        <v>45217.0</v>
      </c>
      <c r="B997" s="8" t="s">
        <v>35</v>
      </c>
      <c r="C997" s="11">
        <v>2107.0</v>
      </c>
      <c r="D997" s="10">
        <v>42.0</v>
      </c>
      <c r="E997" s="10">
        <v>185.0</v>
      </c>
      <c r="F997" s="10">
        <v>2023.0</v>
      </c>
      <c r="G997" s="10"/>
    </row>
    <row r="998">
      <c r="A998" s="7">
        <v>45217.0</v>
      </c>
      <c r="B998" s="8" t="s">
        <v>41</v>
      </c>
      <c r="C998" s="9">
        <v>130.0</v>
      </c>
      <c r="D998" s="10">
        <v>42.0</v>
      </c>
      <c r="E998" s="10">
        <v>185.0</v>
      </c>
      <c r="F998" s="10">
        <v>2023.0</v>
      </c>
      <c r="G998" s="10"/>
    </row>
    <row r="999">
      <c r="A999" s="7">
        <v>45217.0</v>
      </c>
      <c r="B999" s="8" t="s">
        <v>36</v>
      </c>
      <c r="C999" s="11">
        <v>1800.0</v>
      </c>
      <c r="D999" s="10">
        <v>42.0</v>
      </c>
      <c r="E999" s="10">
        <v>185.0</v>
      </c>
      <c r="F999" s="10">
        <v>2023.0</v>
      </c>
      <c r="G999" s="10"/>
    </row>
    <row r="1000">
      <c r="A1000" s="7">
        <v>45217.0</v>
      </c>
      <c r="B1000" s="8" t="s">
        <v>37</v>
      </c>
      <c r="C1000" s="9">
        <v>722.0</v>
      </c>
      <c r="D1000" s="10">
        <v>42.0</v>
      </c>
      <c r="E1000" s="10">
        <v>185.0</v>
      </c>
      <c r="F1000" s="10">
        <v>2023.0</v>
      </c>
      <c r="G1000" s="10"/>
    </row>
    <row r="1001">
      <c r="A1001" s="7">
        <v>45217.0</v>
      </c>
      <c r="B1001" s="8" t="s">
        <v>49</v>
      </c>
      <c r="C1001" s="9">
        <v>205.0</v>
      </c>
      <c r="D1001" s="10">
        <v>42.0</v>
      </c>
      <c r="E1001" s="10">
        <v>185.0</v>
      </c>
      <c r="F1001" s="10">
        <v>2023.0</v>
      </c>
      <c r="G1001" s="10"/>
    </row>
    <row r="1002">
      <c r="A1002" s="7">
        <v>45217.0</v>
      </c>
      <c r="B1002" s="8" t="s">
        <v>34</v>
      </c>
      <c r="C1002" s="11">
        <v>3635.0</v>
      </c>
      <c r="D1002" s="10">
        <v>42.0</v>
      </c>
      <c r="E1002" s="10">
        <v>185.0</v>
      </c>
      <c r="F1002" s="10">
        <v>2023.0</v>
      </c>
      <c r="G1002" s="10"/>
    </row>
    <row r="1003">
      <c r="A1003" s="7">
        <v>45217.0</v>
      </c>
      <c r="B1003" s="8" t="s">
        <v>44</v>
      </c>
      <c r="C1003" s="9">
        <v>751.0</v>
      </c>
      <c r="D1003" s="10">
        <v>42.0</v>
      </c>
      <c r="E1003" s="10">
        <v>185.0</v>
      </c>
      <c r="F1003" s="10">
        <v>2023.0</v>
      </c>
      <c r="G1003" s="10"/>
    </row>
    <row r="1004">
      <c r="A1004" s="7">
        <v>45217.0</v>
      </c>
      <c r="B1004" s="8" t="s">
        <v>40</v>
      </c>
      <c r="C1004" s="11">
        <v>1159.0</v>
      </c>
      <c r="D1004" s="10">
        <v>42.0</v>
      </c>
      <c r="E1004" s="10">
        <v>185.0</v>
      </c>
      <c r="F1004" s="10">
        <v>2023.0</v>
      </c>
      <c r="G1004" s="10"/>
    </row>
    <row r="1005">
      <c r="A1005" s="7">
        <v>45217.0</v>
      </c>
      <c r="B1005" s="8" t="s">
        <v>43</v>
      </c>
      <c r="C1005" s="9">
        <v>126.0</v>
      </c>
      <c r="D1005" s="10">
        <v>42.0</v>
      </c>
      <c r="E1005" s="10">
        <v>185.0</v>
      </c>
      <c r="F1005" s="10">
        <v>2023.0</v>
      </c>
      <c r="G1005" s="10"/>
    </row>
    <row r="1006">
      <c r="A1006" s="7">
        <v>45224.0</v>
      </c>
      <c r="B1006" s="8" t="s">
        <v>35</v>
      </c>
      <c r="C1006" s="11">
        <v>1339.0</v>
      </c>
      <c r="D1006" s="10">
        <v>43.0</v>
      </c>
      <c r="E1006" s="10">
        <v>186.0</v>
      </c>
      <c r="F1006" s="10">
        <v>2023.0</v>
      </c>
      <c r="G1006" s="10"/>
    </row>
    <row r="1007">
      <c r="A1007" s="7">
        <v>45224.0</v>
      </c>
      <c r="B1007" s="8" t="s">
        <v>41</v>
      </c>
      <c r="C1007" s="9">
        <v>121.0</v>
      </c>
      <c r="D1007" s="10">
        <v>43.0</v>
      </c>
      <c r="E1007" s="10">
        <v>186.0</v>
      </c>
      <c r="F1007" s="10">
        <v>2023.0</v>
      </c>
      <c r="G1007" s="10"/>
    </row>
    <row r="1008">
      <c r="A1008" s="7">
        <v>45224.0</v>
      </c>
      <c r="B1008" s="8" t="s">
        <v>36</v>
      </c>
      <c r="C1008" s="11">
        <v>1349.0</v>
      </c>
      <c r="D1008" s="10">
        <v>43.0</v>
      </c>
      <c r="E1008" s="10">
        <v>186.0</v>
      </c>
      <c r="F1008" s="10">
        <v>2023.0</v>
      </c>
      <c r="G1008" s="10"/>
    </row>
    <row r="1009">
      <c r="A1009" s="7">
        <v>45224.0</v>
      </c>
      <c r="B1009" s="8" t="s">
        <v>37</v>
      </c>
      <c r="C1009" s="11">
        <v>1379.0</v>
      </c>
      <c r="D1009" s="10">
        <v>43.0</v>
      </c>
      <c r="E1009" s="10">
        <v>186.0</v>
      </c>
      <c r="F1009" s="10">
        <v>2023.0</v>
      </c>
      <c r="G1009" s="10"/>
    </row>
    <row r="1010">
      <c r="A1010" s="7">
        <v>45224.0</v>
      </c>
      <c r="B1010" s="8" t="s">
        <v>49</v>
      </c>
      <c r="C1010" s="11">
        <v>1163.0</v>
      </c>
      <c r="D1010" s="10">
        <v>43.0</v>
      </c>
      <c r="E1010" s="10">
        <v>186.0</v>
      </c>
      <c r="F1010" s="10">
        <v>2023.0</v>
      </c>
      <c r="G1010" s="10"/>
    </row>
    <row r="1011">
      <c r="A1011" s="7">
        <v>45224.0</v>
      </c>
      <c r="B1011" s="8" t="s">
        <v>34</v>
      </c>
      <c r="C1011" s="11">
        <v>2985.0</v>
      </c>
      <c r="D1011" s="10">
        <v>43.0</v>
      </c>
      <c r="E1011" s="10">
        <v>186.0</v>
      </c>
      <c r="F1011" s="10">
        <v>2023.0</v>
      </c>
      <c r="G1011" s="10"/>
    </row>
    <row r="1012">
      <c r="A1012" s="7">
        <v>45224.0</v>
      </c>
      <c r="B1012" s="8" t="s">
        <v>44</v>
      </c>
      <c r="C1012" s="11">
        <v>1198.0</v>
      </c>
      <c r="D1012" s="10">
        <v>43.0</v>
      </c>
      <c r="E1012" s="10">
        <v>186.0</v>
      </c>
      <c r="F1012" s="10">
        <v>2023.0</v>
      </c>
      <c r="G1012" s="10"/>
    </row>
    <row r="1013">
      <c r="A1013" s="7">
        <v>45224.0</v>
      </c>
      <c r="B1013" s="8" t="s">
        <v>40</v>
      </c>
      <c r="C1013" s="9">
        <v>669.0</v>
      </c>
      <c r="D1013" s="10">
        <v>43.0</v>
      </c>
      <c r="E1013" s="10">
        <v>186.0</v>
      </c>
      <c r="F1013" s="10">
        <v>2023.0</v>
      </c>
      <c r="G1013" s="10"/>
    </row>
    <row r="1014">
      <c r="A1014" s="7">
        <v>45224.0</v>
      </c>
      <c r="B1014" s="8" t="s">
        <v>43</v>
      </c>
      <c r="C1014" s="9">
        <v>105.0</v>
      </c>
      <c r="D1014" s="10">
        <v>43.0</v>
      </c>
      <c r="E1014" s="10">
        <v>186.0</v>
      </c>
      <c r="F1014" s="10">
        <v>2023.0</v>
      </c>
      <c r="G1014" s="10"/>
    </row>
    <row r="1015">
      <c r="A1015" s="7">
        <v>45231.0</v>
      </c>
      <c r="B1015" s="8" t="s">
        <v>35</v>
      </c>
      <c r="C1015" s="9">
        <v>781.0</v>
      </c>
      <c r="D1015" s="10">
        <v>44.0</v>
      </c>
      <c r="E1015" s="10">
        <v>187.0</v>
      </c>
      <c r="F1015" s="10">
        <v>2023.0</v>
      </c>
      <c r="G1015" s="10"/>
    </row>
    <row r="1016">
      <c r="A1016" s="7">
        <v>45231.0</v>
      </c>
      <c r="B1016" s="8" t="s">
        <v>41</v>
      </c>
      <c r="C1016" s="9">
        <v>135.0</v>
      </c>
      <c r="D1016" s="10">
        <v>44.0</v>
      </c>
      <c r="E1016" s="10">
        <v>187.0</v>
      </c>
      <c r="F1016" s="10">
        <v>2023.0</v>
      </c>
      <c r="G1016" s="10"/>
    </row>
    <row r="1017">
      <c r="A1017" s="7">
        <v>45231.0</v>
      </c>
      <c r="B1017" s="8" t="s">
        <v>36</v>
      </c>
      <c r="C1017" s="11">
        <v>2451.0</v>
      </c>
      <c r="D1017" s="10">
        <v>44.0</v>
      </c>
      <c r="E1017" s="10">
        <v>187.0</v>
      </c>
      <c r="F1017" s="10">
        <v>2023.0</v>
      </c>
      <c r="G1017" s="10"/>
    </row>
    <row r="1018">
      <c r="A1018" s="7">
        <v>45231.0</v>
      </c>
      <c r="B1018" s="8" t="s">
        <v>37</v>
      </c>
      <c r="C1018" s="9">
        <v>937.0</v>
      </c>
      <c r="D1018" s="10">
        <v>44.0</v>
      </c>
      <c r="E1018" s="10">
        <v>187.0</v>
      </c>
      <c r="F1018" s="10">
        <v>2023.0</v>
      </c>
      <c r="G1018" s="10"/>
    </row>
    <row r="1019">
      <c r="A1019" s="7">
        <v>45231.0</v>
      </c>
      <c r="B1019" s="8" t="s">
        <v>49</v>
      </c>
      <c r="C1019" s="9">
        <v>219.0</v>
      </c>
      <c r="D1019" s="10">
        <v>44.0</v>
      </c>
      <c r="E1019" s="10">
        <v>187.0</v>
      </c>
      <c r="F1019" s="10">
        <v>2023.0</v>
      </c>
      <c r="G1019" s="10"/>
    </row>
    <row r="1020">
      <c r="A1020" s="7">
        <v>45231.0</v>
      </c>
      <c r="B1020" s="8" t="s">
        <v>34</v>
      </c>
      <c r="C1020" s="11">
        <v>1055.0</v>
      </c>
      <c r="D1020" s="10">
        <v>44.0</v>
      </c>
      <c r="E1020" s="10">
        <v>187.0</v>
      </c>
      <c r="F1020" s="10">
        <v>2023.0</v>
      </c>
      <c r="G1020" s="10"/>
    </row>
    <row r="1021">
      <c r="A1021" s="7">
        <v>45231.0</v>
      </c>
      <c r="B1021" s="8" t="s">
        <v>44</v>
      </c>
      <c r="C1021" s="9">
        <v>365.0</v>
      </c>
      <c r="D1021" s="10">
        <v>44.0</v>
      </c>
      <c r="E1021" s="10">
        <v>187.0</v>
      </c>
      <c r="F1021" s="10">
        <v>2023.0</v>
      </c>
      <c r="G1021" s="10"/>
    </row>
    <row r="1022">
      <c r="A1022" s="7">
        <v>45231.0</v>
      </c>
      <c r="B1022" s="8" t="s">
        <v>40</v>
      </c>
      <c r="C1022" s="9">
        <v>296.0</v>
      </c>
      <c r="D1022" s="10">
        <v>44.0</v>
      </c>
      <c r="E1022" s="10">
        <v>187.0</v>
      </c>
      <c r="F1022" s="10">
        <v>2023.0</v>
      </c>
      <c r="G1022" s="10"/>
    </row>
    <row r="1023">
      <c r="A1023" s="7">
        <v>45231.0</v>
      </c>
      <c r="B1023" s="8" t="s">
        <v>43</v>
      </c>
      <c r="C1023" s="9">
        <v>129.0</v>
      </c>
      <c r="D1023" s="10">
        <v>44.0</v>
      </c>
      <c r="E1023" s="10">
        <v>187.0</v>
      </c>
      <c r="F1023" s="10">
        <v>2023.0</v>
      </c>
      <c r="G1023" s="10"/>
    </row>
    <row r="1024">
      <c r="A1024" s="7">
        <v>45238.0</v>
      </c>
      <c r="B1024" s="8" t="s">
        <v>35</v>
      </c>
      <c r="C1024" s="11">
        <v>2028.0</v>
      </c>
      <c r="D1024" s="10">
        <v>45.0</v>
      </c>
      <c r="E1024" s="10">
        <v>188.0</v>
      </c>
      <c r="F1024" s="10">
        <v>2023.0</v>
      </c>
      <c r="G1024" s="10"/>
    </row>
    <row r="1025">
      <c r="A1025" s="7">
        <v>45238.0</v>
      </c>
      <c r="B1025" s="8" t="s">
        <v>36</v>
      </c>
      <c r="C1025" s="11">
        <v>1805.0</v>
      </c>
      <c r="D1025" s="10">
        <v>45.0</v>
      </c>
      <c r="E1025" s="10">
        <v>188.0</v>
      </c>
      <c r="F1025" s="10">
        <v>2023.0</v>
      </c>
      <c r="G1025" s="10"/>
    </row>
    <row r="1026">
      <c r="A1026" s="7">
        <v>45238.0</v>
      </c>
      <c r="B1026" s="8" t="s">
        <v>37</v>
      </c>
      <c r="C1026" s="11">
        <v>1552.0</v>
      </c>
      <c r="D1026" s="10">
        <v>45.0</v>
      </c>
      <c r="E1026" s="10">
        <v>188.0</v>
      </c>
      <c r="F1026" s="10">
        <v>2023.0</v>
      </c>
      <c r="G1026" s="10"/>
    </row>
    <row r="1027">
      <c r="A1027" s="7">
        <v>45238.0</v>
      </c>
      <c r="B1027" s="8" t="s">
        <v>49</v>
      </c>
      <c r="C1027" s="9">
        <v>267.0</v>
      </c>
      <c r="D1027" s="10">
        <v>45.0</v>
      </c>
      <c r="E1027" s="10">
        <v>188.0</v>
      </c>
      <c r="F1027" s="10">
        <v>2023.0</v>
      </c>
      <c r="G1027" s="10"/>
    </row>
    <row r="1028">
      <c r="A1028" s="7">
        <v>45238.0</v>
      </c>
      <c r="B1028" s="8" t="s">
        <v>34</v>
      </c>
      <c r="C1028" s="11">
        <v>1761.0</v>
      </c>
      <c r="D1028" s="10">
        <v>45.0</v>
      </c>
      <c r="E1028" s="10">
        <v>188.0</v>
      </c>
      <c r="F1028" s="10">
        <v>2023.0</v>
      </c>
      <c r="G1028" s="10"/>
    </row>
    <row r="1029">
      <c r="A1029" s="7">
        <v>45238.0</v>
      </c>
      <c r="B1029" s="8" t="s">
        <v>44</v>
      </c>
      <c r="C1029" s="9">
        <v>935.0</v>
      </c>
      <c r="D1029" s="10">
        <v>45.0</v>
      </c>
      <c r="E1029" s="10">
        <v>188.0</v>
      </c>
      <c r="F1029" s="10">
        <v>2023.0</v>
      </c>
      <c r="G1029" s="10"/>
    </row>
    <row r="1030">
      <c r="A1030" s="7">
        <v>45238.0</v>
      </c>
      <c r="B1030" s="8" t="s">
        <v>40</v>
      </c>
      <c r="C1030" s="9">
        <v>928.0</v>
      </c>
      <c r="D1030" s="10">
        <v>45.0</v>
      </c>
      <c r="E1030" s="10">
        <v>188.0</v>
      </c>
      <c r="F1030" s="10">
        <v>2023.0</v>
      </c>
      <c r="G1030" s="10"/>
    </row>
    <row r="1031">
      <c r="A1031" s="7">
        <v>45238.0</v>
      </c>
      <c r="B1031" s="8" t="s">
        <v>43</v>
      </c>
      <c r="C1031" s="9">
        <v>88.0</v>
      </c>
      <c r="D1031" s="10">
        <v>45.0</v>
      </c>
      <c r="E1031" s="10">
        <v>188.0</v>
      </c>
      <c r="F1031" s="10">
        <v>2023.0</v>
      </c>
      <c r="G1031" s="10"/>
    </row>
    <row r="1032">
      <c r="A1032" s="7">
        <v>45245.0</v>
      </c>
      <c r="B1032" s="8" t="s">
        <v>35</v>
      </c>
      <c r="C1032" s="11">
        <v>1722.0</v>
      </c>
      <c r="D1032" s="10">
        <v>46.0</v>
      </c>
      <c r="E1032" s="10">
        <v>189.0</v>
      </c>
      <c r="F1032" s="10">
        <v>2023.0</v>
      </c>
      <c r="G1032" s="10"/>
    </row>
    <row r="1033">
      <c r="A1033" s="7">
        <v>45245.0</v>
      </c>
      <c r="B1033" s="8" t="s">
        <v>41</v>
      </c>
      <c r="C1033" s="9">
        <v>91.0</v>
      </c>
      <c r="D1033" s="10">
        <v>46.0</v>
      </c>
      <c r="E1033" s="10">
        <v>189.0</v>
      </c>
      <c r="F1033" s="10">
        <v>2023.0</v>
      </c>
      <c r="G1033" s="10"/>
    </row>
    <row r="1034">
      <c r="A1034" s="7">
        <v>45245.0</v>
      </c>
      <c r="B1034" s="8" t="s">
        <v>36</v>
      </c>
      <c r="C1034" s="11">
        <v>2611.0</v>
      </c>
      <c r="D1034" s="10">
        <v>46.0</v>
      </c>
      <c r="E1034" s="10">
        <v>189.0</v>
      </c>
      <c r="F1034" s="10">
        <v>2023.0</v>
      </c>
      <c r="G1034" s="10"/>
    </row>
    <row r="1035">
      <c r="A1035" s="7">
        <v>45245.0</v>
      </c>
      <c r="B1035" s="8" t="s">
        <v>37</v>
      </c>
      <c r="C1035" s="11">
        <v>1501.0</v>
      </c>
      <c r="D1035" s="10">
        <v>46.0</v>
      </c>
      <c r="E1035" s="10">
        <v>189.0</v>
      </c>
      <c r="F1035" s="10">
        <v>2023.0</v>
      </c>
      <c r="G1035" s="10"/>
    </row>
    <row r="1036">
      <c r="A1036" s="7">
        <v>45245.0</v>
      </c>
      <c r="B1036" s="8" t="s">
        <v>49</v>
      </c>
      <c r="C1036" s="9">
        <v>499.0</v>
      </c>
      <c r="D1036" s="10">
        <v>46.0</v>
      </c>
      <c r="E1036" s="10">
        <v>189.0</v>
      </c>
      <c r="F1036" s="10">
        <v>2023.0</v>
      </c>
      <c r="G1036" s="10"/>
    </row>
    <row r="1037">
      <c r="A1037" s="7">
        <v>45245.0</v>
      </c>
      <c r="B1037" s="8" t="s">
        <v>50</v>
      </c>
      <c r="C1037" s="11">
        <v>19414.0</v>
      </c>
      <c r="D1037" s="10">
        <v>46.0</v>
      </c>
      <c r="E1037" s="10">
        <v>189.0</v>
      </c>
      <c r="F1037" s="10">
        <v>2023.0</v>
      </c>
      <c r="G1037" s="10"/>
    </row>
    <row r="1038">
      <c r="A1038" s="7">
        <v>45245.0</v>
      </c>
      <c r="B1038" s="8" t="s">
        <v>34</v>
      </c>
      <c r="C1038" s="11">
        <v>11278.0</v>
      </c>
      <c r="D1038" s="10">
        <v>46.0</v>
      </c>
      <c r="E1038" s="10">
        <v>189.0</v>
      </c>
      <c r="F1038" s="10">
        <v>2023.0</v>
      </c>
      <c r="G1038" s="10"/>
    </row>
    <row r="1039">
      <c r="A1039" s="7">
        <v>45245.0</v>
      </c>
      <c r="B1039" s="8" t="s">
        <v>44</v>
      </c>
      <c r="C1039" s="9">
        <v>626.0</v>
      </c>
      <c r="D1039" s="10">
        <v>46.0</v>
      </c>
      <c r="E1039" s="10">
        <v>189.0</v>
      </c>
      <c r="F1039" s="10">
        <v>2023.0</v>
      </c>
      <c r="G1039" s="10"/>
    </row>
    <row r="1040">
      <c r="A1040" s="7">
        <v>45245.0</v>
      </c>
      <c r="B1040" s="8" t="s">
        <v>40</v>
      </c>
      <c r="C1040" s="9">
        <v>996.0</v>
      </c>
      <c r="D1040" s="10">
        <v>46.0</v>
      </c>
      <c r="E1040" s="10">
        <v>189.0</v>
      </c>
      <c r="F1040" s="10">
        <v>2023.0</v>
      </c>
      <c r="G1040" s="10"/>
    </row>
    <row r="1041">
      <c r="A1041" s="7">
        <v>45245.0</v>
      </c>
      <c r="B1041" s="8" t="s">
        <v>43</v>
      </c>
      <c r="C1041" s="9">
        <v>90.0</v>
      </c>
      <c r="D1041" s="10">
        <v>46.0</v>
      </c>
      <c r="E1041" s="10">
        <v>189.0</v>
      </c>
      <c r="F1041" s="10">
        <v>2023.0</v>
      </c>
      <c r="G1041" s="10"/>
    </row>
    <row r="1042">
      <c r="A1042" s="7">
        <v>45259.0</v>
      </c>
      <c r="B1042" s="8" t="s">
        <v>35</v>
      </c>
      <c r="C1042" s="11">
        <v>4232.0</v>
      </c>
      <c r="D1042" s="10">
        <v>48.0</v>
      </c>
      <c r="E1042" s="10">
        <v>191.0</v>
      </c>
      <c r="F1042" s="10">
        <v>2023.0</v>
      </c>
      <c r="G1042" s="10"/>
    </row>
    <row r="1043">
      <c r="A1043" s="7">
        <v>45259.0</v>
      </c>
      <c r="B1043" s="8" t="s">
        <v>41</v>
      </c>
      <c r="C1043" s="9">
        <v>82.0</v>
      </c>
      <c r="D1043" s="10">
        <v>48.0</v>
      </c>
      <c r="E1043" s="10">
        <v>191.0</v>
      </c>
      <c r="F1043" s="10">
        <v>2023.0</v>
      </c>
      <c r="G1043" s="10"/>
    </row>
    <row r="1044">
      <c r="A1044" s="7">
        <v>45259.0</v>
      </c>
      <c r="B1044" s="8" t="s">
        <v>36</v>
      </c>
      <c r="C1044" s="11">
        <v>2404.0</v>
      </c>
      <c r="D1044" s="10">
        <v>48.0</v>
      </c>
      <c r="E1044" s="10">
        <v>191.0</v>
      </c>
      <c r="F1044" s="10">
        <v>2023.0</v>
      </c>
      <c r="G1044" s="10"/>
    </row>
    <row r="1045">
      <c r="A1045" s="7">
        <v>45259.0</v>
      </c>
      <c r="B1045" s="8" t="s">
        <v>37</v>
      </c>
      <c r="C1045" s="11">
        <v>1537.0</v>
      </c>
      <c r="D1045" s="10">
        <v>48.0</v>
      </c>
      <c r="E1045" s="10">
        <v>191.0</v>
      </c>
      <c r="F1045" s="10">
        <v>2023.0</v>
      </c>
      <c r="G1045" s="10"/>
    </row>
    <row r="1046">
      <c r="A1046" s="7">
        <v>45259.0</v>
      </c>
      <c r="B1046" s="8" t="s">
        <v>49</v>
      </c>
      <c r="C1046" s="9">
        <v>388.0</v>
      </c>
      <c r="D1046" s="10">
        <v>48.0</v>
      </c>
      <c r="E1046" s="10">
        <v>191.0</v>
      </c>
      <c r="F1046" s="10">
        <v>2023.0</v>
      </c>
      <c r="G1046" s="10"/>
    </row>
    <row r="1047">
      <c r="A1047" s="7">
        <v>45259.0</v>
      </c>
      <c r="B1047" s="8" t="s">
        <v>34</v>
      </c>
      <c r="C1047" s="9">
        <v>332.0</v>
      </c>
      <c r="D1047" s="10">
        <v>48.0</v>
      </c>
      <c r="E1047" s="10">
        <v>191.0</v>
      </c>
      <c r="F1047" s="10">
        <v>2023.0</v>
      </c>
      <c r="G1047" s="10"/>
    </row>
    <row r="1048">
      <c r="A1048" s="7">
        <v>45259.0</v>
      </c>
      <c r="B1048" s="8" t="s">
        <v>44</v>
      </c>
      <c r="C1048" s="11">
        <v>1203.0</v>
      </c>
      <c r="D1048" s="10">
        <v>48.0</v>
      </c>
      <c r="E1048" s="10">
        <v>191.0</v>
      </c>
      <c r="F1048" s="10">
        <v>2023.0</v>
      </c>
      <c r="G1048" s="10"/>
    </row>
    <row r="1049">
      <c r="A1049" s="7">
        <v>45259.0</v>
      </c>
      <c r="B1049" s="8" t="s">
        <v>40</v>
      </c>
      <c r="C1049" s="9">
        <v>718.0</v>
      </c>
      <c r="D1049" s="10">
        <v>48.0</v>
      </c>
      <c r="E1049" s="10">
        <v>191.0</v>
      </c>
      <c r="F1049" s="10">
        <v>2023.0</v>
      </c>
      <c r="G1049" s="10"/>
    </row>
    <row r="1050">
      <c r="A1050" s="7">
        <v>45259.0</v>
      </c>
      <c r="B1050" s="8" t="s">
        <v>43</v>
      </c>
      <c r="C1050" s="9">
        <v>91.0</v>
      </c>
      <c r="D1050" s="10">
        <v>48.0</v>
      </c>
      <c r="E1050" s="10">
        <v>191.0</v>
      </c>
      <c r="F1050" s="10">
        <v>2023.0</v>
      </c>
      <c r="G1050" s="10"/>
    </row>
    <row r="1051">
      <c r="A1051" s="7">
        <v>45266.0</v>
      </c>
      <c r="B1051" s="8" t="s">
        <v>35</v>
      </c>
      <c r="C1051" s="9">
        <v>961.0</v>
      </c>
      <c r="D1051" s="10">
        <v>49.0</v>
      </c>
      <c r="E1051" s="10">
        <v>192.0</v>
      </c>
      <c r="F1051" s="10">
        <v>2023.0</v>
      </c>
      <c r="G1051" s="10"/>
    </row>
    <row r="1052">
      <c r="A1052" s="7">
        <v>45266.0</v>
      </c>
      <c r="B1052" s="8" t="s">
        <v>41</v>
      </c>
      <c r="C1052" s="9">
        <v>111.0</v>
      </c>
      <c r="D1052" s="10">
        <v>49.0</v>
      </c>
      <c r="E1052" s="10">
        <v>192.0</v>
      </c>
      <c r="F1052" s="10">
        <v>2023.0</v>
      </c>
      <c r="G1052" s="10"/>
    </row>
    <row r="1053">
      <c r="A1053" s="7">
        <v>45266.0</v>
      </c>
      <c r="B1053" s="8" t="s">
        <v>36</v>
      </c>
      <c r="C1053" s="11">
        <v>1714.0</v>
      </c>
      <c r="D1053" s="10">
        <v>49.0</v>
      </c>
      <c r="E1053" s="10">
        <v>192.0</v>
      </c>
      <c r="F1053" s="10">
        <v>2023.0</v>
      </c>
      <c r="G1053" s="10"/>
    </row>
    <row r="1054">
      <c r="A1054" s="7">
        <v>45266.0</v>
      </c>
      <c r="B1054" s="8" t="s">
        <v>37</v>
      </c>
      <c r="C1054" s="11">
        <v>2233.0</v>
      </c>
      <c r="D1054" s="10">
        <v>49.0</v>
      </c>
      <c r="E1054" s="10">
        <v>192.0</v>
      </c>
      <c r="F1054" s="10">
        <v>2023.0</v>
      </c>
      <c r="G1054" s="10"/>
    </row>
    <row r="1055">
      <c r="A1055" s="7">
        <v>45266.0</v>
      </c>
      <c r="B1055" s="8" t="s">
        <v>49</v>
      </c>
      <c r="C1055" s="9">
        <v>292.0</v>
      </c>
      <c r="D1055" s="10">
        <v>49.0</v>
      </c>
      <c r="E1055" s="10">
        <v>192.0</v>
      </c>
      <c r="F1055" s="10">
        <v>2023.0</v>
      </c>
      <c r="G1055" s="10"/>
    </row>
    <row r="1056">
      <c r="A1056" s="7">
        <v>45266.0</v>
      </c>
      <c r="B1056" s="8" t="s">
        <v>34</v>
      </c>
      <c r="C1056" s="11">
        <v>4981.0</v>
      </c>
      <c r="D1056" s="10">
        <v>49.0</v>
      </c>
      <c r="E1056" s="10">
        <v>192.0</v>
      </c>
      <c r="F1056" s="10">
        <v>2023.0</v>
      </c>
      <c r="G1056" s="10"/>
    </row>
    <row r="1057">
      <c r="A1057" s="7">
        <v>45266.0</v>
      </c>
      <c r="B1057" s="8" t="s">
        <v>44</v>
      </c>
      <c r="C1057" s="11">
        <v>1387.0</v>
      </c>
      <c r="D1057" s="10">
        <v>49.0</v>
      </c>
      <c r="E1057" s="10">
        <v>192.0</v>
      </c>
      <c r="F1057" s="10">
        <v>2023.0</v>
      </c>
      <c r="G1057" s="10"/>
    </row>
    <row r="1058">
      <c r="A1058" s="7">
        <v>45266.0</v>
      </c>
      <c r="B1058" s="8" t="s">
        <v>40</v>
      </c>
      <c r="C1058" s="9">
        <v>944.0</v>
      </c>
      <c r="D1058" s="10">
        <v>49.0</v>
      </c>
      <c r="E1058" s="10">
        <v>192.0</v>
      </c>
      <c r="F1058" s="10">
        <v>2023.0</v>
      </c>
      <c r="G1058" s="10"/>
    </row>
    <row r="1059">
      <c r="A1059" s="7">
        <v>45266.0</v>
      </c>
      <c r="B1059" s="8" t="s">
        <v>43</v>
      </c>
      <c r="C1059" s="9">
        <v>128.0</v>
      </c>
      <c r="D1059" s="10">
        <v>49.0</v>
      </c>
      <c r="E1059" s="10">
        <v>192.0</v>
      </c>
      <c r="F1059" s="10">
        <v>2023.0</v>
      </c>
      <c r="G1059" s="10"/>
    </row>
    <row r="1060">
      <c r="A1060" s="7">
        <v>45273.0</v>
      </c>
      <c r="B1060" s="8" t="s">
        <v>35</v>
      </c>
      <c r="C1060" s="11">
        <v>1343.0</v>
      </c>
      <c r="D1060" s="10">
        <v>50.0</v>
      </c>
      <c r="E1060" s="10">
        <v>193.0</v>
      </c>
      <c r="F1060" s="10">
        <v>2023.0</v>
      </c>
      <c r="G1060" s="10"/>
    </row>
    <row r="1061">
      <c r="A1061" s="7">
        <v>45273.0</v>
      </c>
      <c r="B1061" s="8" t="s">
        <v>41</v>
      </c>
      <c r="C1061" s="9">
        <v>113.0</v>
      </c>
      <c r="D1061" s="10">
        <v>50.0</v>
      </c>
      <c r="E1061" s="10">
        <v>193.0</v>
      </c>
      <c r="F1061" s="10">
        <v>2023.0</v>
      </c>
      <c r="G1061" s="10"/>
    </row>
    <row r="1062">
      <c r="A1062" s="7">
        <v>45273.0</v>
      </c>
      <c r="B1062" s="8" t="s">
        <v>36</v>
      </c>
      <c r="C1062" s="11">
        <v>1381.0</v>
      </c>
      <c r="D1062" s="10">
        <v>50.0</v>
      </c>
      <c r="E1062" s="10">
        <v>193.0</v>
      </c>
      <c r="F1062" s="10">
        <v>2023.0</v>
      </c>
      <c r="G1062" s="10"/>
    </row>
    <row r="1063">
      <c r="A1063" s="7">
        <v>45273.0</v>
      </c>
      <c r="B1063" s="8" t="s">
        <v>37</v>
      </c>
      <c r="C1063" s="11">
        <v>1806.0</v>
      </c>
      <c r="D1063" s="10">
        <v>50.0</v>
      </c>
      <c r="E1063" s="10">
        <v>193.0</v>
      </c>
      <c r="F1063" s="10">
        <v>2023.0</v>
      </c>
      <c r="G1063" s="10"/>
    </row>
    <row r="1064">
      <c r="A1064" s="7">
        <v>45273.0</v>
      </c>
      <c r="B1064" s="8" t="s">
        <v>49</v>
      </c>
      <c r="C1064" s="9">
        <v>362.0</v>
      </c>
      <c r="D1064" s="10">
        <v>50.0</v>
      </c>
      <c r="E1064" s="10">
        <v>193.0</v>
      </c>
      <c r="F1064" s="10">
        <v>2023.0</v>
      </c>
      <c r="G1064" s="10"/>
    </row>
    <row r="1065">
      <c r="A1065" s="7">
        <v>45273.0</v>
      </c>
      <c r="B1065" s="8" t="s">
        <v>34</v>
      </c>
      <c r="C1065" s="11">
        <v>1844.0</v>
      </c>
      <c r="D1065" s="10">
        <v>50.0</v>
      </c>
      <c r="E1065" s="10">
        <v>193.0</v>
      </c>
      <c r="F1065" s="10">
        <v>2023.0</v>
      </c>
      <c r="G1065" s="10"/>
    </row>
    <row r="1066">
      <c r="A1066" s="7">
        <v>45273.0</v>
      </c>
      <c r="B1066" s="8" t="s">
        <v>44</v>
      </c>
      <c r="C1066" s="11">
        <v>1161.0</v>
      </c>
      <c r="D1066" s="10">
        <v>50.0</v>
      </c>
      <c r="E1066" s="10">
        <v>193.0</v>
      </c>
      <c r="F1066" s="10">
        <v>2023.0</v>
      </c>
      <c r="G1066" s="10"/>
    </row>
    <row r="1067">
      <c r="A1067" s="7">
        <v>45273.0</v>
      </c>
      <c r="B1067" s="8" t="s">
        <v>40</v>
      </c>
      <c r="C1067" s="9">
        <v>630.0</v>
      </c>
      <c r="D1067" s="10">
        <v>50.0</v>
      </c>
      <c r="E1067" s="10">
        <v>193.0</v>
      </c>
      <c r="F1067" s="10">
        <v>2023.0</v>
      </c>
      <c r="G1067" s="10"/>
    </row>
    <row r="1068">
      <c r="A1068" s="7">
        <v>45273.0</v>
      </c>
      <c r="B1068" s="8" t="s">
        <v>43</v>
      </c>
      <c r="C1068" s="9">
        <v>109.0</v>
      </c>
      <c r="D1068" s="10">
        <v>50.0</v>
      </c>
      <c r="E1068" s="10">
        <v>193.0</v>
      </c>
      <c r="F1068" s="10">
        <v>2023.0</v>
      </c>
      <c r="G1068" s="10"/>
    </row>
    <row r="1069">
      <c r="A1069" s="7">
        <v>45280.0</v>
      </c>
      <c r="B1069" s="8" t="s">
        <v>35</v>
      </c>
      <c r="C1069" s="11">
        <v>2367.0</v>
      </c>
      <c r="D1069" s="10">
        <v>51.0</v>
      </c>
      <c r="E1069" s="10">
        <v>194.0</v>
      </c>
      <c r="F1069" s="10">
        <v>2023.0</v>
      </c>
      <c r="G1069" s="10"/>
    </row>
    <row r="1070">
      <c r="A1070" s="7">
        <v>45280.0</v>
      </c>
      <c r="B1070" s="8" t="s">
        <v>41</v>
      </c>
      <c r="C1070" s="9">
        <v>184.0</v>
      </c>
      <c r="D1070" s="10">
        <v>51.0</v>
      </c>
      <c r="E1070" s="10">
        <v>194.0</v>
      </c>
      <c r="F1070" s="10">
        <v>2023.0</v>
      </c>
      <c r="G1070" s="10"/>
    </row>
    <row r="1071">
      <c r="A1071" s="7">
        <v>45280.0</v>
      </c>
      <c r="B1071" s="8" t="s">
        <v>36</v>
      </c>
      <c r="C1071" s="11">
        <v>1792.0</v>
      </c>
      <c r="D1071" s="10">
        <v>51.0</v>
      </c>
      <c r="E1071" s="10">
        <v>194.0</v>
      </c>
      <c r="F1071" s="10">
        <v>2023.0</v>
      </c>
      <c r="G1071" s="10"/>
    </row>
    <row r="1072">
      <c r="A1072" s="7">
        <v>45280.0</v>
      </c>
      <c r="B1072" s="8" t="s">
        <v>37</v>
      </c>
      <c r="C1072" s="11">
        <v>1787.0</v>
      </c>
      <c r="D1072" s="10">
        <v>51.0</v>
      </c>
      <c r="E1072" s="10">
        <v>194.0</v>
      </c>
      <c r="F1072" s="10">
        <v>2023.0</v>
      </c>
      <c r="G1072" s="10"/>
    </row>
    <row r="1073">
      <c r="A1073" s="7">
        <v>45280.0</v>
      </c>
      <c r="B1073" s="8" t="s">
        <v>34</v>
      </c>
      <c r="C1073" s="11">
        <v>8696.0</v>
      </c>
      <c r="D1073" s="10">
        <v>51.0</v>
      </c>
      <c r="E1073" s="10">
        <v>194.0</v>
      </c>
      <c r="F1073" s="10">
        <v>2023.0</v>
      </c>
      <c r="G1073" s="10"/>
    </row>
    <row r="1074">
      <c r="A1074" s="7">
        <v>45280.0</v>
      </c>
      <c r="B1074" s="8" t="s">
        <v>44</v>
      </c>
      <c r="C1074" s="9">
        <v>460.0</v>
      </c>
      <c r="D1074" s="10">
        <v>51.0</v>
      </c>
      <c r="E1074" s="10">
        <v>194.0</v>
      </c>
      <c r="F1074" s="10">
        <v>2023.0</v>
      </c>
      <c r="G1074" s="10"/>
    </row>
    <row r="1075">
      <c r="A1075" s="7">
        <v>45280.0</v>
      </c>
      <c r="B1075" s="8" t="s">
        <v>40</v>
      </c>
      <c r="C1075" s="11">
        <v>1052.0</v>
      </c>
      <c r="D1075" s="10">
        <v>51.0</v>
      </c>
      <c r="E1075" s="10">
        <v>194.0</v>
      </c>
      <c r="F1075" s="10">
        <v>2023.0</v>
      </c>
      <c r="G1075" s="10"/>
    </row>
    <row r="1076">
      <c r="A1076" s="7">
        <v>45280.0</v>
      </c>
      <c r="B1076" s="8" t="s">
        <v>43</v>
      </c>
      <c r="C1076" s="9">
        <v>106.0</v>
      </c>
      <c r="D1076" s="10">
        <v>51.0</v>
      </c>
      <c r="E1076" s="10">
        <v>194.0</v>
      </c>
      <c r="F1076" s="10">
        <v>2023.0</v>
      </c>
      <c r="G1076" s="10"/>
    </row>
    <row r="1077">
      <c r="A1077" s="7">
        <v>45294.0</v>
      </c>
      <c r="B1077" s="8" t="s">
        <v>35</v>
      </c>
      <c r="C1077" s="9">
        <v>609.0</v>
      </c>
      <c r="D1077" s="10">
        <v>1.0</v>
      </c>
      <c r="E1077" s="10">
        <v>197.0</v>
      </c>
      <c r="F1077" s="10">
        <v>2024.0</v>
      </c>
      <c r="G1077" s="10"/>
    </row>
    <row r="1078">
      <c r="A1078" s="7">
        <v>45294.0</v>
      </c>
      <c r="B1078" s="8" t="s">
        <v>36</v>
      </c>
      <c r="C1078" s="11">
        <v>1480.0</v>
      </c>
      <c r="D1078" s="10">
        <v>1.0</v>
      </c>
      <c r="E1078" s="10">
        <v>197.0</v>
      </c>
      <c r="F1078" s="10">
        <v>2024.0</v>
      </c>
      <c r="G1078" s="10"/>
    </row>
    <row r="1079">
      <c r="A1079" s="7">
        <v>45294.0</v>
      </c>
      <c r="B1079" s="8" t="s">
        <v>37</v>
      </c>
      <c r="C1079" s="11">
        <v>1631.0</v>
      </c>
      <c r="D1079" s="10">
        <v>1.0</v>
      </c>
      <c r="E1079" s="10">
        <v>197.0</v>
      </c>
      <c r="F1079" s="10">
        <v>2024.0</v>
      </c>
      <c r="G1079" s="10"/>
    </row>
    <row r="1080">
      <c r="A1080" s="7">
        <v>45294.0</v>
      </c>
      <c r="B1080" s="8" t="s">
        <v>49</v>
      </c>
      <c r="C1080" s="9">
        <v>262.0</v>
      </c>
      <c r="D1080" s="10">
        <v>1.0</v>
      </c>
      <c r="E1080" s="10">
        <v>197.0</v>
      </c>
      <c r="F1080" s="10">
        <v>2024.0</v>
      </c>
      <c r="G1080" s="10"/>
    </row>
    <row r="1081">
      <c r="A1081" s="7">
        <v>45294.0</v>
      </c>
      <c r="B1081" s="8" t="s">
        <v>44</v>
      </c>
      <c r="C1081" s="9">
        <v>625.0</v>
      </c>
      <c r="D1081" s="10">
        <v>1.0</v>
      </c>
      <c r="E1081" s="10">
        <v>197.0</v>
      </c>
      <c r="F1081" s="10">
        <v>2024.0</v>
      </c>
      <c r="G1081" s="10"/>
    </row>
    <row r="1082">
      <c r="A1082" s="7">
        <v>45294.0</v>
      </c>
      <c r="B1082" s="8" t="s">
        <v>40</v>
      </c>
      <c r="C1082" s="9">
        <v>283.0</v>
      </c>
      <c r="D1082" s="10">
        <v>1.0</v>
      </c>
      <c r="E1082" s="10">
        <v>197.0</v>
      </c>
      <c r="F1082" s="10">
        <v>2024.0</v>
      </c>
      <c r="G1082" s="10"/>
    </row>
    <row r="1083">
      <c r="A1083" s="7">
        <v>45294.0</v>
      </c>
      <c r="B1083" s="8" t="s">
        <v>43</v>
      </c>
      <c r="C1083" s="9">
        <v>152.0</v>
      </c>
      <c r="D1083" s="10">
        <v>1.0</v>
      </c>
      <c r="E1083" s="10">
        <v>197.0</v>
      </c>
      <c r="F1083" s="10">
        <v>2024.0</v>
      </c>
      <c r="G1083" s="10"/>
    </row>
    <row r="1084">
      <c r="A1084" s="7">
        <v>45301.0</v>
      </c>
      <c r="B1084" s="8" t="s">
        <v>35</v>
      </c>
      <c r="C1084" s="11">
        <v>2000.0</v>
      </c>
      <c r="D1084" s="10">
        <v>2.0</v>
      </c>
      <c r="E1084" s="10">
        <v>198.0</v>
      </c>
      <c r="F1084" s="10">
        <v>2024.0</v>
      </c>
      <c r="G1084" s="10"/>
    </row>
    <row r="1085">
      <c r="A1085" s="7">
        <v>45301.0</v>
      </c>
      <c r="B1085" s="8" t="s">
        <v>41</v>
      </c>
      <c r="C1085" s="9">
        <v>102.0</v>
      </c>
      <c r="D1085" s="10">
        <v>2.0</v>
      </c>
      <c r="E1085" s="10">
        <v>198.0</v>
      </c>
      <c r="F1085" s="10">
        <v>2024.0</v>
      </c>
      <c r="G1085" s="10"/>
    </row>
    <row r="1086">
      <c r="A1086" s="7">
        <v>45301.0</v>
      </c>
      <c r="B1086" s="8" t="s">
        <v>36</v>
      </c>
      <c r="C1086" s="11">
        <v>2160.0</v>
      </c>
      <c r="D1086" s="10">
        <v>2.0</v>
      </c>
      <c r="E1086" s="10">
        <v>198.0</v>
      </c>
      <c r="F1086" s="10">
        <v>2024.0</v>
      </c>
      <c r="G1086" s="10"/>
    </row>
    <row r="1087">
      <c r="A1087" s="7">
        <v>45301.0</v>
      </c>
      <c r="B1087" s="8" t="s">
        <v>37</v>
      </c>
      <c r="C1087" s="11">
        <v>1162.0</v>
      </c>
      <c r="D1087" s="10">
        <v>2.0</v>
      </c>
      <c r="E1087" s="10">
        <v>198.0</v>
      </c>
      <c r="F1087" s="10">
        <v>2024.0</v>
      </c>
      <c r="G1087" s="10"/>
    </row>
    <row r="1088">
      <c r="A1088" s="7">
        <v>45301.0</v>
      </c>
      <c r="B1088" s="8" t="s">
        <v>34</v>
      </c>
      <c r="C1088" s="9">
        <v>485.0</v>
      </c>
      <c r="D1088" s="10">
        <v>2.0</v>
      </c>
      <c r="E1088" s="10">
        <v>198.0</v>
      </c>
      <c r="F1088" s="10">
        <v>2024.0</v>
      </c>
      <c r="G1088" s="10"/>
    </row>
    <row r="1089">
      <c r="A1089" s="7">
        <v>45301.0</v>
      </c>
      <c r="B1089" s="8" t="s">
        <v>44</v>
      </c>
      <c r="C1089" s="9">
        <v>225.0</v>
      </c>
      <c r="D1089" s="10">
        <v>2.0</v>
      </c>
      <c r="E1089" s="10">
        <v>198.0</v>
      </c>
      <c r="F1089" s="10">
        <v>2024.0</v>
      </c>
      <c r="G1089" s="10"/>
    </row>
    <row r="1090">
      <c r="A1090" s="7">
        <v>45301.0</v>
      </c>
      <c r="B1090" s="8" t="s">
        <v>40</v>
      </c>
      <c r="C1090" s="9">
        <v>771.0</v>
      </c>
      <c r="D1090" s="10">
        <v>2.0</v>
      </c>
      <c r="E1090" s="10">
        <v>198.0</v>
      </c>
      <c r="F1090" s="10">
        <v>2024.0</v>
      </c>
      <c r="G1090" s="10"/>
    </row>
    <row r="1091">
      <c r="A1091" s="7">
        <v>45301.0</v>
      </c>
      <c r="B1091" s="8" t="s">
        <v>43</v>
      </c>
      <c r="C1091" s="9">
        <v>185.0</v>
      </c>
      <c r="D1091" s="10">
        <v>2.0</v>
      </c>
      <c r="E1091" s="10">
        <v>198.0</v>
      </c>
      <c r="F1091" s="10">
        <v>2024.0</v>
      </c>
      <c r="G1091" s="10"/>
    </row>
    <row r="1092">
      <c r="A1092" s="7">
        <v>45308.0</v>
      </c>
      <c r="B1092" s="8" t="s">
        <v>35</v>
      </c>
      <c r="C1092" s="9">
        <v>905.0</v>
      </c>
      <c r="D1092" s="10">
        <v>3.0</v>
      </c>
      <c r="E1092" s="10">
        <v>199.0</v>
      </c>
      <c r="F1092" s="10">
        <v>2024.0</v>
      </c>
      <c r="G1092" s="10"/>
    </row>
    <row r="1093">
      <c r="A1093" s="7">
        <v>45308.0</v>
      </c>
      <c r="B1093" s="8" t="s">
        <v>41</v>
      </c>
      <c r="C1093" s="9">
        <v>320.0</v>
      </c>
      <c r="D1093" s="10">
        <v>3.0</v>
      </c>
      <c r="E1093" s="10">
        <v>199.0</v>
      </c>
      <c r="F1093" s="10">
        <v>2024.0</v>
      </c>
      <c r="G1093" s="10"/>
    </row>
    <row r="1094">
      <c r="A1094" s="7">
        <v>45308.0</v>
      </c>
      <c r="B1094" s="8" t="s">
        <v>36</v>
      </c>
      <c r="C1094" s="11">
        <v>1570.0</v>
      </c>
      <c r="D1094" s="10">
        <v>3.0</v>
      </c>
      <c r="E1094" s="10">
        <v>199.0</v>
      </c>
      <c r="F1094" s="10">
        <v>2024.0</v>
      </c>
      <c r="G1094" s="10"/>
    </row>
    <row r="1095">
      <c r="A1095" s="7">
        <v>45308.0</v>
      </c>
      <c r="B1095" s="8" t="s">
        <v>37</v>
      </c>
      <c r="C1095" s="11">
        <v>1297.0</v>
      </c>
      <c r="D1095" s="10">
        <v>3.0</v>
      </c>
      <c r="E1095" s="10">
        <v>199.0</v>
      </c>
      <c r="F1095" s="10">
        <v>2024.0</v>
      </c>
      <c r="G1095" s="10"/>
    </row>
    <row r="1096">
      <c r="A1096" s="7">
        <v>45308.0</v>
      </c>
      <c r="B1096" s="8" t="s">
        <v>49</v>
      </c>
      <c r="C1096" s="9">
        <v>480.0</v>
      </c>
      <c r="D1096" s="10">
        <v>3.0</v>
      </c>
      <c r="E1096" s="10">
        <v>199.0</v>
      </c>
      <c r="F1096" s="10">
        <v>2024.0</v>
      </c>
      <c r="G1096" s="10"/>
    </row>
    <row r="1097">
      <c r="A1097" s="7">
        <v>45308.0</v>
      </c>
      <c r="B1097" s="8" t="s">
        <v>34</v>
      </c>
      <c r="C1097" s="15">
        <v>13284.0</v>
      </c>
      <c r="D1097" s="10">
        <v>3.0</v>
      </c>
      <c r="E1097" s="10">
        <v>199.0</v>
      </c>
      <c r="F1097" s="10">
        <v>2024.0</v>
      </c>
      <c r="G1097" s="10"/>
    </row>
    <row r="1098">
      <c r="A1098" s="7">
        <v>45308.0</v>
      </c>
      <c r="B1098" s="8" t="s">
        <v>44</v>
      </c>
      <c r="C1098" s="11">
        <v>1208.0</v>
      </c>
      <c r="D1098" s="10">
        <v>3.0</v>
      </c>
      <c r="E1098" s="10">
        <v>199.0</v>
      </c>
      <c r="F1098" s="10">
        <v>2024.0</v>
      </c>
      <c r="G1098" s="10"/>
    </row>
    <row r="1099">
      <c r="A1099" s="7">
        <v>45308.0</v>
      </c>
      <c r="B1099" s="8" t="s">
        <v>40</v>
      </c>
      <c r="C1099" s="11">
        <v>1013.0</v>
      </c>
      <c r="D1099" s="10">
        <v>3.0</v>
      </c>
      <c r="E1099" s="10">
        <v>199.0</v>
      </c>
      <c r="F1099" s="10">
        <v>2024.0</v>
      </c>
      <c r="G1099" s="10"/>
    </row>
    <row r="1100">
      <c r="A1100" s="7">
        <v>45308.0</v>
      </c>
      <c r="B1100" s="8" t="s">
        <v>43</v>
      </c>
      <c r="C1100" s="9">
        <v>85.0</v>
      </c>
      <c r="D1100" s="10">
        <v>3.0</v>
      </c>
      <c r="E1100" s="10">
        <v>199.0</v>
      </c>
      <c r="F1100" s="10">
        <v>2024.0</v>
      </c>
      <c r="G1100" s="10"/>
    </row>
    <row r="1101">
      <c r="A1101" s="7">
        <v>45315.0</v>
      </c>
      <c r="B1101" s="8" t="s">
        <v>35</v>
      </c>
      <c r="C1101" s="11">
        <v>1788.0</v>
      </c>
      <c r="D1101" s="10">
        <v>4.0</v>
      </c>
      <c r="E1101" s="10">
        <v>200.0</v>
      </c>
      <c r="F1101" s="10">
        <v>2024.0</v>
      </c>
      <c r="G1101" s="10"/>
    </row>
    <row r="1102">
      <c r="A1102" s="7">
        <v>45315.0</v>
      </c>
      <c r="B1102" s="8" t="s">
        <v>41</v>
      </c>
      <c r="C1102" s="9">
        <v>82.0</v>
      </c>
      <c r="D1102" s="10">
        <v>4.0</v>
      </c>
      <c r="E1102" s="10">
        <v>200.0</v>
      </c>
      <c r="F1102" s="10">
        <v>2024.0</v>
      </c>
      <c r="G1102" s="10"/>
    </row>
    <row r="1103">
      <c r="A1103" s="7">
        <v>45315.0</v>
      </c>
      <c r="B1103" s="8" t="s">
        <v>36</v>
      </c>
      <c r="C1103" s="11">
        <v>1885.0</v>
      </c>
      <c r="D1103" s="10">
        <v>4.0</v>
      </c>
      <c r="E1103" s="10">
        <v>200.0</v>
      </c>
      <c r="F1103" s="10">
        <v>2024.0</v>
      </c>
      <c r="G1103" s="10"/>
    </row>
    <row r="1104">
      <c r="A1104" s="7">
        <v>45315.0</v>
      </c>
      <c r="B1104" s="8" t="s">
        <v>37</v>
      </c>
      <c r="C1104" s="11">
        <v>1278.0</v>
      </c>
      <c r="D1104" s="10">
        <v>4.0</v>
      </c>
      <c r="E1104" s="10">
        <v>200.0</v>
      </c>
      <c r="F1104" s="10">
        <v>2024.0</v>
      </c>
      <c r="G1104" s="10"/>
    </row>
    <row r="1105">
      <c r="A1105" s="7">
        <v>45315.0</v>
      </c>
      <c r="B1105" s="8" t="s">
        <v>34</v>
      </c>
      <c r="C1105" s="11">
        <v>1718.0</v>
      </c>
      <c r="D1105" s="10">
        <v>4.0</v>
      </c>
      <c r="E1105" s="10">
        <v>200.0</v>
      </c>
      <c r="F1105" s="10">
        <v>2024.0</v>
      </c>
      <c r="G1105" s="10"/>
    </row>
    <row r="1106">
      <c r="A1106" s="7">
        <v>45315.0</v>
      </c>
      <c r="B1106" s="8" t="s">
        <v>44</v>
      </c>
      <c r="C1106" s="9">
        <v>823.0</v>
      </c>
      <c r="D1106" s="10">
        <v>4.0</v>
      </c>
      <c r="E1106" s="10">
        <v>200.0</v>
      </c>
      <c r="F1106" s="10">
        <v>2024.0</v>
      </c>
      <c r="G1106" s="10"/>
    </row>
    <row r="1107">
      <c r="A1107" s="7">
        <v>45315.0</v>
      </c>
      <c r="B1107" s="8" t="s">
        <v>40</v>
      </c>
      <c r="C1107" s="9">
        <v>700.0</v>
      </c>
      <c r="D1107" s="10">
        <v>4.0</v>
      </c>
      <c r="E1107" s="10">
        <v>200.0</v>
      </c>
      <c r="F1107" s="10">
        <v>2024.0</v>
      </c>
      <c r="G1107" s="10"/>
    </row>
    <row r="1108">
      <c r="A1108" s="7">
        <v>45315.0</v>
      </c>
      <c r="B1108" s="8" t="s">
        <v>43</v>
      </c>
      <c r="C1108" s="9">
        <v>180.0</v>
      </c>
      <c r="D1108" s="10">
        <v>4.0</v>
      </c>
      <c r="E1108" s="10">
        <v>200.0</v>
      </c>
      <c r="F1108" s="10">
        <v>2024.0</v>
      </c>
      <c r="G1108" s="10"/>
    </row>
    <row r="1109">
      <c r="A1109" s="7">
        <v>45322.0</v>
      </c>
      <c r="B1109" s="8" t="s">
        <v>35</v>
      </c>
      <c r="C1109" s="11">
        <v>1859.0</v>
      </c>
      <c r="D1109" s="10">
        <v>5.0</v>
      </c>
      <c r="E1109" s="10">
        <v>201.0</v>
      </c>
      <c r="F1109" s="10">
        <v>2024.0</v>
      </c>
      <c r="G1109" s="10"/>
    </row>
    <row r="1110">
      <c r="A1110" s="7">
        <v>45322.0</v>
      </c>
      <c r="B1110" s="8" t="s">
        <v>41</v>
      </c>
      <c r="C1110" s="9">
        <v>128.0</v>
      </c>
      <c r="D1110" s="10">
        <v>5.0</v>
      </c>
      <c r="E1110" s="10">
        <v>201.0</v>
      </c>
      <c r="F1110" s="10">
        <v>2024.0</v>
      </c>
      <c r="G1110" s="10"/>
    </row>
    <row r="1111">
      <c r="A1111" s="7">
        <v>45322.0</v>
      </c>
      <c r="B1111" s="8" t="s">
        <v>36</v>
      </c>
      <c r="C1111" s="11">
        <v>1437.0</v>
      </c>
      <c r="D1111" s="10">
        <v>5.0</v>
      </c>
      <c r="E1111" s="10">
        <v>201.0</v>
      </c>
      <c r="F1111" s="10">
        <v>2024.0</v>
      </c>
      <c r="G1111" s="10"/>
    </row>
    <row r="1112">
      <c r="A1112" s="7">
        <v>45322.0</v>
      </c>
      <c r="B1112" s="8" t="s">
        <v>37</v>
      </c>
      <c r="C1112" s="11">
        <v>1296.0</v>
      </c>
      <c r="D1112" s="10">
        <v>5.0</v>
      </c>
      <c r="E1112" s="10">
        <v>201.0</v>
      </c>
      <c r="F1112" s="10">
        <v>2024.0</v>
      </c>
      <c r="G1112" s="10"/>
    </row>
    <row r="1113">
      <c r="A1113" s="7">
        <v>45322.0</v>
      </c>
      <c r="B1113" s="8" t="s">
        <v>49</v>
      </c>
      <c r="C1113" s="9">
        <v>232.0</v>
      </c>
      <c r="D1113" s="10">
        <v>5.0</v>
      </c>
      <c r="E1113" s="10">
        <v>201.0</v>
      </c>
      <c r="F1113" s="10">
        <v>2024.0</v>
      </c>
      <c r="G1113" s="10"/>
    </row>
    <row r="1114">
      <c r="A1114" s="7">
        <v>45322.0</v>
      </c>
      <c r="B1114" s="8" t="s">
        <v>34</v>
      </c>
      <c r="C1114" s="11">
        <v>3254.0</v>
      </c>
      <c r="D1114" s="10">
        <v>5.0</v>
      </c>
      <c r="E1114" s="10">
        <v>201.0</v>
      </c>
      <c r="F1114" s="10">
        <v>2024.0</v>
      </c>
      <c r="G1114" s="10"/>
    </row>
    <row r="1115">
      <c r="A1115" s="7">
        <v>45322.0</v>
      </c>
      <c r="B1115" s="8" t="s">
        <v>44</v>
      </c>
      <c r="C1115" s="9">
        <v>723.0</v>
      </c>
      <c r="D1115" s="10">
        <v>5.0</v>
      </c>
      <c r="E1115" s="10">
        <v>201.0</v>
      </c>
      <c r="F1115" s="10">
        <v>2024.0</v>
      </c>
      <c r="G1115" s="10"/>
    </row>
    <row r="1116">
      <c r="A1116" s="7">
        <v>45322.0</v>
      </c>
      <c r="B1116" s="8" t="s">
        <v>40</v>
      </c>
      <c r="C1116" s="9">
        <v>935.0</v>
      </c>
      <c r="D1116" s="10">
        <v>5.0</v>
      </c>
      <c r="E1116" s="10">
        <v>201.0</v>
      </c>
      <c r="F1116" s="10">
        <v>2024.0</v>
      </c>
      <c r="G1116" s="10"/>
    </row>
    <row r="1117">
      <c r="A1117" s="7">
        <v>45329.0</v>
      </c>
      <c r="B1117" s="8" t="s">
        <v>35</v>
      </c>
      <c r="C1117" s="11">
        <v>1526.0</v>
      </c>
      <c r="D1117" s="10">
        <v>6.0</v>
      </c>
      <c r="E1117" s="10">
        <v>202.0</v>
      </c>
      <c r="F1117" s="10">
        <v>2024.0</v>
      </c>
      <c r="G1117" s="10"/>
    </row>
    <row r="1118">
      <c r="A1118" s="7">
        <v>45329.0</v>
      </c>
      <c r="B1118" s="8" t="s">
        <v>41</v>
      </c>
      <c r="C1118" s="9">
        <v>72.0</v>
      </c>
      <c r="D1118" s="10">
        <v>6.0</v>
      </c>
      <c r="E1118" s="10">
        <v>202.0</v>
      </c>
      <c r="F1118" s="10">
        <v>2024.0</v>
      </c>
      <c r="G1118" s="10"/>
    </row>
    <row r="1119">
      <c r="A1119" s="7">
        <v>45329.0</v>
      </c>
      <c r="B1119" s="8" t="s">
        <v>36</v>
      </c>
      <c r="C1119" s="11">
        <v>1465.0</v>
      </c>
      <c r="D1119" s="10">
        <v>6.0</v>
      </c>
      <c r="E1119" s="10">
        <v>202.0</v>
      </c>
      <c r="F1119" s="10">
        <v>2024.0</v>
      </c>
      <c r="G1119" s="10"/>
    </row>
    <row r="1120">
      <c r="A1120" s="7">
        <v>45329.0</v>
      </c>
      <c r="B1120" s="8" t="s">
        <v>37</v>
      </c>
      <c r="C1120" s="11">
        <v>1048.0</v>
      </c>
      <c r="D1120" s="10">
        <v>6.0</v>
      </c>
      <c r="E1120" s="10">
        <v>202.0</v>
      </c>
      <c r="F1120" s="10">
        <v>2024.0</v>
      </c>
      <c r="G1120" s="10"/>
    </row>
    <row r="1121">
      <c r="A1121" s="7">
        <v>45329.0</v>
      </c>
      <c r="B1121" s="8" t="s">
        <v>34</v>
      </c>
      <c r="C1121" s="11">
        <v>1960.0</v>
      </c>
      <c r="D1121" s="10">
        <v>6.0</v>
      </c>
      <c r="E1121" s="10">
        <v>202.0</v>
      </c>
      <c r="F1121" s="10">
        <v>2024.0</v>
      </c>
      <c r="G1121" s="10"/>
    </row>
    <row r="1122">
      <c r="A1122" s="7">
        <v>45329.0</v>
      </c>
      <c r="B1122" s="8" t="s">
        <v>44</v>
      </c>
      <c r="C1122" s="9">
        <v>214.0</v>
      </c>
      <c r="D1122" s="10">
        <v>6.0</v>
      </c>
      <c r="E1122" s="10">
        <v>202.0</v>
      </c>
      <c r="F1122" s="10">
        <v>2024.0</v>
      </c>
      <c r="G1122" s="10"/>
    </row>
    <row r="1123">
      <c r="A1123" s="7">
        <v>45329.0</v>
      </c>
      <c r="B1123" s="8" t="s">
        <v>40</v>
      </c>
      <c r="C1123" s="9">
        <v>605.0</v>
      </c>
      <c r="D1123" s="10">
        <v>6.0</v>
      </c>
      <c r="E1123" s="10">
        <v>202.0</v>
      </c>
      <c r="F1123" s="10">
        <v>2024.0</v>
      </c>
      <c r="G1123" s="10"/>
    </row>
    <row r="1124">
      <c r="A1124" s="7">
        <v>45329.0</v>
      </c>
      <c r="B1124" s="8" t="s">
        <v>43</v>
      </c>
      <c r="C1124" s="9">
        <v>110.0</v>
      </c>
      <c r="D1124" s="10">
        <v>6.0</v>
      </c>
      <c r="E1124" s="10">
        <v>202.0</v>
      </c>
      <c r="F1124" s="10">
        <v>2024.0</v>
      </c>
      <c r="G1124" s="10"/>
    </row>
    <row r="1125">
      <c r="A1125" s="7">
        <v>45336.0</v>
      </c>
      <c r="B1125" s="8" t="s">
        <v>35</v>
      </c>
      <c r="C1125" s="11">
        <v>3087.0</v>
      </c>
      <c r="D1125" s="10">
        <v>7.0</v>
      </c>
      <c r="E1125" s="10">
        <v>203.0</v>
      </c>
      <c r="F1125" s="10">
        <v>2024.0</v>
      </c>
      <c r="G1125" s="10"/>
    </row>
    <row r="1126">
      <c r="A1126" s="7">
        <v>45336.0</v>
      </c>
      <c r="B1126" s="8" t="s">
        <v>36</v>
      </c>
      <c r="C1126" s="11">
        <v>1594.0</v>
      </c>
      <c r="D1126" s="10">
        <v>7.0</v>
      </c>
      <c r="E1126" s="10">
        <v>203.0</v>
      </c>
      <c r="F1126" s="10">
        <v>2024.0</v>
      </c>
      <c r="G1126" s="10"/>
    </row>
    <row r="1127">
      <c r="A1127" s="7">
        <v>45336.0</v>
      </c>
      <c r="B1127" s="8" t="s">
        <v>37</v>
      </c>
      <c r="C1127" s="9">
        <v>821.0</v>
      </c>
      <c r="D1127" s="10">
        <v>7.0</v>
      </c>
      <c r="E1127" s="10">
        <v>203.0</v>
      </c>
      <c r="F1127" s="10">
        <v>2024.0</v>
      </c>
      <c r="G1127" s="10"/>
    </row>
    <row r="1128">
      <c r="A1128" s="7">
        <v>45336.0</v>
      </c>
      <c r="B1128" s="8" t="s">
        <v>49</v>
      </c>
      <c r="C1128" s="9">
        <v>287.0</v>
      </c>
      <c r="D1128" s="10">
        <v>7.0</v>
      </c>
      <c r="E1128" s="10">
        <v>203.0</v>
      </c>
      <c r="F1128" s="10">
        <v>2024.0</v>
      </c>
      <c r="G1128" s="10"/>
    </row>
    <row r="1129">
      <c r="A1129" s="7">
        <v>45336.0</v>
      </c>
      <c r="B1129" s="8" t="s">
        <v>34</v>
      </c>
      <c r="C1129" s="11">
        <v>3141.0</v>
      </c>
      <c r="D1129" s="10">
        <v>7.0</v>
      </c>
      <c r="E1129" s="10">
        <v>203.0</v>
      </c>
      <c r="F1129" s="10">
        <v>2024.0</v>
      </c>
      <c r="G1129" s="10"/>
    </row>
    <row r="1130">
      <c r="A1130" s="7">
        <v>45336.0</v>
      </c>
      <c r="B1130" s="8" t="s">
        <v>44</v>
      </c>
      <c r="C1130" s="9">
        <v>930.0</v>
      </c>
      <c r="D1130" s="10">
        <v>7.0</v>
      </c>
      <c r="E1130" s="10">
        <v>203.0</v>
      </c>
      <c r="F1130" s="10">
        <v>2024.0</v>
      </c>
      <c r="G1130" s="10"/>
    </row>
    <row r="1131">
      <c r="A1131" s="7">
        <v>45336.0</v>
      </c>
      <c r="B1131" s="8" t="s">
        <v>40</v>
      </c>
      <c r="C1131" s="9">
        <v>508.0</v>
      </c>
      <c r="D1131" s="10">
        <v>7.0</v>
      </c>
      <c r="E1131" s="10">
        <v>203.0</v>
      </c>
      <c r="F1131" s="10">
        <v>2024.0</v>
      </c>
      <c r="G1131" s="10"/>
    </row>
    <row r="1132">
      <c r="A1132" s="7">
        <v>45336.0</v>
      </c>
      <c r="B1132" s="8" t="s">
        <v>43</v>
      </c>
      <c r="C1132" s="9">
        <v>108.0</v>
      </c>
      <c r="D1132" s="10">
        <v>7.0</v>
      </c>
      <c r="E1132" s="10">
        <v>203.0</v>
      </c>
      <c r="F1132" s="10">
        <v>2024.0</v>
      </c>
      <c r="G1132" s="10"/>
    </row>
    <row r="1133">
      <c r="A1133" s="7">
        <v>45343.0</v>
      </c>
      <c r="B1133" s="8" t="s">
        <v>35</v>
      </c>
      <c r="C1133" s="11">
        <v>2225.0</v>
      </c>
      <c r="D1133" s="10">
        <v>8.0</v>
      </c>
      <c r="E1133" s="10">
        <v>204.0</v>
      </c>
      <c r="F1133" s="10">
        <v>2024.0</v>
      </c>
      <c r="G1133" s="10"/>
    </row>
    <row r="1134">
      <c r="A1134" s="7">
        <v>45343.0</v>
      </c>
      <c r="B1134" s="8" t="s">
        <v>41</v>
      </c>
      <c r="C1134" s="9">
        <v>92.0</v>
      </c>
      <c r="D1134" s="10">
        <v>8.0</v>
      </c>
      <c r="E1134" s="10">
        <v>204.0</v>
      </c>
      <c r="F1134" s="10">
        <v>2024.0</v>
      </c>
      <c r="G1134" s="10"/>
    </row>
    <row r="1135">
      <c r="A1135" s="7">
        <v>45343.0</v>
      </c>
      <c r="B1135" s="8" t="s">
        <v>36</v>
      </c>
      <c r="C1135" s="11">
        <v>2628.0</v>
      </c>
      <c r="D1135" s="10">
        <v>8.0</v>
      </c>
      <c r="E1135" s="10">
        <v>204.0</v>
      </c>
      <c r="F1135" s="10">
        <v>2024.0</v>
      </c>
      <c r="G1135" s="10"/>
    </row>
    <row r="1136">
      <c r="A1136" s="7">
        <v>45343.0</v>
      </c>
      <c r="B1136" s="8" t="s">
        <v>37</v>
      </c>
      <c r="C1136" s="11">
        <v>1789.0</v>
      </c>
      <c r="D1136" s="10">
        <v>8.0</v>
      </c>
      <c r="E1136" s="10">
        <v>204.0</v>
      </c>
      <c r="F1136" s="10">
        <v>2024.0</v>
      </c>
      <c r="G1136" s="10"/>
    </row>
    <row r="1137">
      <c r="A1137" s="7">
        <v>45343.0</v>
      </c>
      <c r="B1137" s="8" t="s">
        <v>34</v>
      </c>
      <c r="C1137" s="11">
        <v>7050.0</v>
      </c>
      <c r="D1137" s="10">
        <v>8.0</v>
      </c>
      <c r="E1137" s="10">
        <v>204.0</v>
      </c>
      <c r="F1137" s="10">
        <v>2024.0</v>
      </c>
      <c r="G1137" s="10"/>
    </row>
    <row r="1138">
      <c r="A1138" s="7">
        <v>45343.0</v>
      </c>
      <c r="B1138" s="8" t="s">
        <v>44</v>
      </c>
      <c r="C1138" s="11">
        <v>1351.0</v>
      </c>
      <c r="D1138" s="10">
        <v>8.0</v>
      </c>
      <c r="E1138" s="10">
        <v>204.0</v>
      </c>
      <c r="F1138" s="10">
        <v>2024.0</v>
      </c>
      <c r="G1138" s="10"/>
    </row>
    <row r="1139">
      <c r="A1139" s="7">
        <v>45343.0</v>
      </c>
      <c r="B1139" s="8" t="s">
        <v>40</v>
      </c>
      <c r="C1139" s="9">
        <v>822.0</v>
      </c>
      <c r="D1139" s="10">
        <v>8.0</v>
      </c>
      <c r="E1139" s="10">
        <v>204.0</v>
      </c>
      <c r="F1139" s="10">
        <v>2024.0</v>
      </c>
      <c r="G1139" s="10"/>
    </row>
    <row r="1140">
      <c r="A1140" s="7">
        <v>45343.0</v>
      </c>
      <c r="B1140" s="8" t="s">
        <v>43</v>
      </c>
      <c r="C1140" s="9">
        <v>396.0</v>
      </c>
      <c r="D1140" s="10">
        <v>8.0</v>
      </c>
      <c r="E1140" s="10">
        <v>204.0</v>
      </c>
      <c r="F1140" s="10">
        <v>2024.0</v>
      </c>
      <c r="G1140" s="10"/>
    </row>
    <row r="1141">
      <c r="A1141" s="7">
        <v>45350.0</v>
      </c>
      <c r="B1141" s="8" t="s">
        <v>35</v>
      </c>
      <c r="C1141" s="9">
        <v>938.0</v>
      </c>
      <c r="D1141" s="10">
        <v>9.0</v>
      </c>
      <c r="E1141" s="10">
        <v>205.0</v>
      </c>
      <c r="F1141" s="10">
        <v>2024.0</v>
      </c>
      <c r="G1141" s="10"/>
    </row>
    <row r="1142">
      <c r="A1142" s="7">
        <v>45350.0</v>
      </c>
      <c r="B1142" s="8" t="s">
        <v>41</v>
      </c>
      <c r="C1142" s="9">
        <v>81.0</v>
      </c>
      <c r="D1142" s="10">
        <v>9.0</v>
      </c>
      <c r="E1142" s="10">
        <v>205.0</v>
      </c>
      <c r="F1142" s="10">
        <v>2024.0</v>
      </c>
      <c r="G1142" s="10"/>
    </row>
    <row r="1143">
      <c r="A1143" s="7">
        <v>45350.0</v>
      </c>
      <c r="B1143" s="8" t="s">
        <v>36</v>
      </c>
      <c r="C1143" s="11">
        <v>1708.0</v>
      </c>
      <c r="D1143" s="10">
        <v>9.0</v>
      </c>
      <c r="E1143" s="10">
        <v>205.0</v>
      </c>
      <c r="F1143" s="10">
        <v>2024.0</v>
      </c>
      <c r="G1143" s="10"/>
    </row>
    <row r="1144">
      <c r="A1144" s="7">
        <v>45350.0</v>
      </c>
      <c r="B1144" s="8" t="s">
        <v>37</v>
      </c>
      <c r="C1144" s="9">
        <v>946.0</v>
      </c>
      <c r="D1144" s="10">
        <v>9.0</v>
      </c>
      <c r="E1144" s="10">
        <v>205.0</v>
      </c>
      <c r="F1144" s="10">
        <v>2024.0</v>
      </c>
      <c r="G1144" s="10"/>
    </row>
    <row r="1145">
      <c r="A1145" s="7">
        <v>45350.0</v>
      </c>
      <c r="B1145" s="8" t="s">
        <v>49</v>
      </c>
      <c r="C1145" s="9">
        <v>353.0</v>
      </c>
      <c r="D1145" s="10">
        <v>9.0</v>
      </c>
      <c r="E1145" s="10">
        <v>205.0</v>
      </c>
      <c r="F1145" s="10">
        <v>2024.0</v>
      </c>
      <c r="G1145" s="10"/>
    </row>
    <row r="1146">
      <c r="A1146" s="7">
        <v>45350.0</v>
      </c>
      <c r="B1146" s="8" t="s">
        <v>34</v>
      </c>
      <c r="C1146" s="11">
        <v>1000.0</v>
      </c>
      <c r="D1146" s="10">
        <v>9.0</v>
      </c>
      <c r="E1146" s="10">
        <v>205.0</v>
      </c>
      <c r="F1146" s="10">
        <v>2024.0</v>
      </c>
      <c r="G1146" s="10"/>
    </row>
    <row r="1147">
      <c r="A1147" s="7">
        <v>45350.0</v>
      </c>
      <c r="B1147" s="8" t="s">
        <v>44</v>
      </c>
      <c r="C1147" s="9">
        <v>749.0</v>
      </c>
      <c r="D1147" s="10">
        <v>9.0</v>
      </c>
      <c r="E1147" s="10">
        <v>205.0</v>
      </c>
      <c r="F1147" s="10">
        <v>2024.0</v>
      </c>
      <c r="G1147" s="10"/>
    </row>
    <row r="1148">
      <c r="A1148" s="7">
        <v>45350.0</v>
      </c>
      <c r="B1148" s="8" t="s">
        <v>40</v>
      </c>
      <c r="C1148" s="9">
        <v>451.0</v>
      </c>
      <c r="D1148" s="10">
        <v>9.0</v>
      </c>
      <c r="E1148" s="10">
        <v>205.0</v>
      </c>
      <c r="F1148" s="10">
        <v>2024.0</v>
      </c>
      <c r="G1148" s="10"/>
    </row>
    <row r="1149">
      <c r="A1149" s="7">
        <v>45350.0</v>
      </c>
      <c r="B1149" s="8" t="s">
        <v>43</v>
      </c>
      <c r="C1149" s="9">
        <v>74.0</v>
      </c>
      <c r="D1149" s="10">
        <v>9.0</v>
      </c>
      <c r="E1149" s="10">
        <v>205.0</v>
      </c>
      <c r="F1149" s="10">
        <v>2024.0</v>
      </c>
      <c r="G1149" s="10"/>
    </row>
    <row r="1150">
      <c r="A1150" s="7">
        <v>45357.0</v>
      </c>
      <c r="B1150" s="8" t="s">
        <v>35</v>
      </c>
      <c r="C1150" s="11">
        <v>1324.0</v>
      </c>
      <c r="D1150" s="10">
        <v>10.0</v>
      </c>
      <c r="E1150" s="10">
        <v>206.0</v>
      </c>
      <c r="F1150" s="10">
        <v>2024.0</v>
      </c>
      <c r="G1150" s="10"/>
    </row>
    <row r="1151">
      <c r="A1151" s="7">
        <v>45357.0</v>
      </c>
      <c r="B1151" s="8" t="s">
        <v>41</v>
      </c>
      <c r="C1151" s="9">
        <v>102.0</v>
      </c>
      <c r="D1151" s="10">
        <v>10.0</v>
      </c>
      <c r="E1151" s="10">
        <v>206.0</v>
      </c>
      <c r="F1151" s="10">
        <v>2024.0</v>
      </c>
      <c r="G1151" s="10"/>
    </row>
    <row r="1152">
      <c r="A1152" s="7">
        <v>45357.0</v>
      </c>
      <c r="B1152" s="8" t="s">
        <v>36</v>
      </c>
      <c r="C1152" s="11">
        <v>1351.0</v>
      </c>
      <c r="D1152" s="10">
        <v>10.0</v>
      </c>
      <c r="E1152" s="10">
        <v>206.0</v>
      </c>
      <c r="F1152" s="10">
        <v>2024.0</v>
      </c>
      <c r="G1152" s="10"/>
    </row>
    <row r="1153">
      <c r="A1153" s="7">
        <v>45357.0</v>
      </c>
      <c r="B1153" s="8" t="s">
        <v>37</v>
      </c>
      <c r="C1153" s="11">
        <v>1160.0</v>
      </c>
      <c r="D1153" s="10">
        <v>10.0</v>
      </c>
      <c r="E1153" s="10">
        <v>206.0</v>
      </c>
      <c r="F1153" s="10">
        <v>2024.0</v>
      </c>
      <c r="G1153" s="10"/>
    </row>
    <row r="1154">
      <c r="A1154" s="7">
        <v>45357.0</v>
      </c>
      <c r="B1154" s="8" t="s">
        <v>49</v>
      </c>
      <c r="C1154" s="9">
        <v>264.0</v>
      </c>
      <c r="D1154" s="10">
        <v>10.0</v>
      </c>
      <c r="E1154" s="10">
        <v>206.0</v>
      </c>
      <c r="F1154" s="10">
        <v>2024.0</v>
      </c>
      <c r="G1154" s="10"/>
    </row>
    <row r="1155">
      <c r="A1155" s="7">
        <v>45357.0</v>
      </c>
      <c r="B1155" s="8" t="s">
        <v>34</v>
      </c>
      <c r="C1155" s="11">
        <v>4544.0</v>
      </c>
      <c r="D1155" s="10">
        <v>10.0</v>
      </c>
      <c r="E1155" s="10">
        <v>206.0</v>
      </c>
      <c r="F1155" s="10">
        <v>2024.0</v>
      </c>
      <c r="G1155" s="10"/>
    </row>
    <row r="1156">
      <c r="A1156" s="7">
        <v>45357.0</v>
      </c>
      <c r="B1156" s="8" t="s">
        <v>44</v>
      </c>
      <c r="C1156" s="9">
        <v>745.0</v>
      </c>
      <c r="D1156" s="10">
        <v>10.0</v>
      </c>
      <c r="E1156" s="10">
        <v>206.0</v>
      </c>
      <c r="F1156" s="10">
        <v>2024.0</v>
      </c>
      <c r="G1156" s="10"/>
    </row>
    <row r="1157">
      <c r="A1157" s="7">
        <v>45357.0</v>
      </c>
      <c r="B1157" s="8" t="s">
        <v>40</v>
      </c>
      <c r="C1157" s="9">
        <v>367.0</v>
      </c>
      <c r="D1157" s="10">
        <v>10.0</v>
      </c>
      <c r="E1157" s="10">
        <v>206.0</v>
      </c>
      <c r="F1157" s="10">
        <v>2024.0</v>
      </c>
      <c r="G1157" s="10"/>
    </row>
    <row r="1158">
      <c r="A1158" s="7">
        <v>45357.0</v>
      </c>
      <c r="B1158" s="8" t="s">
        <v>43</v>
      </c>
      <c r="C1158" s="9">
        <v>74.0</v>
      </c>
      <c r="D1158" s="10">
        <v>10.0</v>
      </c>
      <c r="E1158" s="10">
        <v>206.0</v>
      </c>
      <c r="F1158" s="10">
        <v>2024.0</v>
      </c>
      <c r="G1158" s="10"/>
    </row>
    <row r="1159">
      <c r="A1159" s="7">
        <v>45364.0</v>
      </c>
      <c r="B1159" s="8" t="s">
        <v>35</v>
      </c>
      <c r="C1159" s="11">
        <v>1254.0</v>
      </c>
      <c r="D1159" s="10">
        <v>11.0</v>
      </c>
      <c r="E1159" s="10">
        <v>207.0</v>
      </c>
      <c r="F1159" s="10">
        <v>2024.0</v>
      </c>
      <c r="G1159" s="10"/>
    </row>
    <row r="1160">
      <c r="A1160" s="7">
        <v>45364.0</v>
      </c>
      <c r="B1160" s="8" t="s">
        <v>41</v>
      </c>
      <c r="C1160" s="9">
        <v>106.0</v>
      </c>
      <c r="D1160" s="10">
        <v>11.0</v>
      </c>
      <c r="E1160" s="10">
        <v>207.0</v>
      </c>
      <c r="F1160" s="10">
        <v>2024.0</v>
      </c>
      <c r="G1160" s="10"/>
    </row>
    <row r="1161">
      <c r="A1161" s="7">
        <v>45364.0</v>
      </c>
      <c r="B1161" s="8" t="s">
        <v>36</v>
      </c>
      <c r="C1161" s="11">
        <v>1878.0</v>
      </c>
      <c r="D1161" s="10">
        <v>11.0</v>
      </c>
      <c r="E1161" s="10">
        <v>207.0</v>
      </c>
      <c r="F1161" s="10">
        <v>2024.0</v>
      </c>
      <c r="G1161" s="10"/>
    </row>
    <row r="1162">
      <c r="A1162" s="7">
        <v>45364.0</v>
      </c>
      <c r="B1162" s="8" t="s">
        <v>37</v>
      </c>
      <c r="C1162" s="11">
        <v>1849.0</v>
      </c>
      <c r="D1162" s="10">
        <v>11.0</v>
      </c>
      <c r="E1162" s="10">
        <v>207.0</v>
      </c>
      <c r="F1162" s="10">
        <v>2024.0</v>
      </c>
      <c r="G1162" s="10"/>
    </row>
    <row r="1163">
      <c r="A1163" s="7">
        <v>45364.0</v>
      </c>
      <c r="B1163" s="8" t="s">
        <v>34</v>
      </c>
      <c r="C1163" s="11">
        <v>1734.0</v>
      </c>
      <c r="D1163" s="10">
        <v>11.0</v>
      </c>
      <c r="E1163" s="10">
        <v>207.0</v>
      </c>
      <c r="F1163" s="10">
        <v>2024.0</v>
      </c>
      <c r="G1163" s="10"/>
    </row>
    <row r="1164">
      <c r="A1164" s="7">
        <v>45364.0</v>
      </c>
      <c r="B1164" s="8" t="s">
        <v>44</v>
      </c>
      <c r="C1164" s="9">
        <v>277.0</v>
      </c>
      <c r="D1164" s="10">
        <v>11.0</v>
      </c>
      <c r="E1164" s="10">
        <v>207.0</v>
      </c>
      <c r="F1164" s="10">
        <v>2024.0</v>
      </c>
      <c r="G1164" s="10"/>
    </row>
    <row r="1165">
      <c r="A1165" s="7">
        <v>45364.0</v>
      </c>
      <c r="B1165" s="8" t="s">
        <v>40</v>
      </c>
      <c r="C1165" s="9">
        <v>788.0</v>
      </c>
      <c r="D1165" s="10">
        <v>11.0</v>
      </c>
      <c r="E1165" s="10">
        <v>207.0</v>
      </c>
      <c r="F1165" s="10">
        <v>2024.0</v>
      </c>
      <c r="G1165" s="10"/>
    </row>
    <row r="1166">
      <c r="A1166" s="7">
        <v>45364.0</v>
      </c>
      <c r="B1166" s="8" t="s">
        <v>43</v>
      </c>
      <c r="C1166" s="9">
        <v>114.0</v>
      </c>
      <c r="D1166" s="10">
        <v>11.0</v>
      </c>
      <c r="E1166" s="10">
        <v>207.0</v>
      </c>
      <c r="F1166" s="10">
        <v>2024.0</v>
      </c>
      <c r="G1166" s="10"/>
    </row>
    <row r="1167">
      <c r="A1167" s="7">
        <v>45371.0</v>
      </c>
      <c r="B1167" s="8" t="s">
        <v>35</v>
      </c>
      <c r="C1167" s="9">
        <v>795.0</v>
      </c>
      <c r="D1167" s="10">
        <v>12.0</v>
      </c>
      <c r="E1167" s="10">
        <v>208.0</v>
      </c>
      <c r="F1167" s="10">
        <v>2024.0</v>
      </c>
      <c r="G1167" s="10"/>
    </row>
    <row r="1168">
      <c r="A1168" s="7">
        <v>45371.0</v>
      </c>
      <c r="B1168" s="8" t="s">
        <v>41</v>
      </c>
      <c r="C1168" s="9">
        <v>82.0</v>
      </c>
      <c r="D1168" s="10">
        <v>12.0</v>
      </c>
      <c r="E1168" s="10">
        <v>208.0</v>
      </c>
      <c r="F1168" s="10">
        <v>2024.0</v>
      </c>
      <c r="G1168" s="10"/>
    </row>
    <row r="1169">
      <c r="A1169" s="7">
        <v>45371.0</v>
      </c>
      <c r="B1169" s="8" t="s">
        <v>36</v>
      </c>
      <c r="C1169" s="11">
        <v>1672.0</v>
      </c>
      <c r="D1169" s="10">
        <v>12.0</v>
      </c>
      <c r="E1169" s="10">
        <v>208.0</v>
      </c>
      <c r="F1169" s="10">
        <v>2024.0</v>
      </c>
      <c r="G1169" s="10"/>
    </row>
    <row r="1170">
      <c r="A1170" s="7">
        <v>45371.0</v>
      </c>
      <c r="B1170" s="8" t="s">
        <v>37</v>
      </c>
      <c r="C1170" s="11">
        <v>1845.0</v>
      </c>
      <c r="D1170" s="10">
        <v>12.0</v>
      </c>
      <c r="E1170" s="10">
        <v>208.0</v>
      </c>
      <c r="F1170" s="10">
        <v>2024.0</v>
      </c>
      <c r="G1170" s="10"/>
    </row>
    <row r="1171">
      <c r="A1171" s="7">
        <v>45371.0</v>
      </c>
      <c r="B1171" s="8" t="s">
        <v>49</v>
      </c>
      <c r="C1171" s="9">
        <v>473.0</v>
      </c>
      <c r="D1171" s="10">
        <v>12.0</v>
      </c>
      <c r="E1171" s="10">
        <v>208.0</v>
      </c>
      <c r="F1171" s="10">
        <v>2024.0</v>
      </c>
      <c r="G1171" s="10"/>
    </row>
    <row r="1172">
      <c r="A1172" s="7">
        <v>45371.0</v>
      </c>
      <c r="B1172" s="8" t="s">
        <v>34</v>
      </c>
      <c r="C1172" s="11">
        <v>4771.0</v>
      </c>
      <c r="D1172" s="10">
        <v>12.0</v>
      </c>
      <c r="E1172" s="10">
        <v>208.0</v>
      </c>
      <c r="F1172" s="10">
        <v>2024.0</v>
      </c>
      <c r="G1172" s="10"/>
    </row>
    <row r="1173">
      <c r="A1173" s="7">
        <v>45371.0</v>
      </c>
      <c r="B1173" s="8" t="s">
        <v>44</v>
      </c>
      <c r="C1173" s="9">
        <v>941.0</v>
      </c>
      <c r="D1173" s="10">
        <v>12.0</v>
      </c>
      <c r="E1173" s="10">
        <v>208.0</v>
      </c>
      <c r="F1173" s="10">
        <v>2024.0</v>
      </c>
      <c r="G1173" s="10"/>
    </row>
    <row r="1174">
      <c r="A1174" s="7">
        <v>45371.0</v>
      </c>
      <c r="B1174" s="8" t="s">
        <v>40</v>
      </c>
      <c r="C1174" s="9">
        <v>736.0</v>
      </c>
      <c r="D1174" s="10">
        <v>12.0</v>
      </c>
      <c r="E1174" s="10">
        <v>208.0</v>
      </c>
      <c r="F1174" s="10">
        <v>2024.0</v>
      </c>
      <c r="G1174" s="10"/>
    </row>
    <row r="1175">
      <c r="A1175" s="7">
        <v>45385.0</v>
      </c>
      <c r="B1175" s="8" t="s">
        <v>35</v>
      </c>
      <c r="C1175" s="9">
        <v>757.0</v>
      </c>
      <c r="D1175" s="10">
        <v>14.0</v>
      </c>
      <c r="E1175" s="10">
        <v>210.0</v>
      </c>
      <c r="F1175" s="10">
        <v>2024.0</v>
      </c>
      <c r="G1175" s="10"/>
    </row>
    <row r="1176">
      <c r="A1176" s="7">
        <v>45385.0</v>
      </c>
      <c r="B1176" s="8" t="s">
        <v>36</v>
      </c>
      <c r="C1176" s="11">
        <v>2160.0</v>
      </c>
      <c r="D1176" s="10">
        <v>14.0</v>
      </c>
      <c r="E1176" s="10">
        <v>210.0</v>
      </c>
      <c r="F1176" s="10">
        <v>2024.0</v>
      </c>
      <c r="G1176" s="10"/>
    </row>
    <row r="1177">
      <c r="A1177" s="7">
        <v>45385.0</v>
      </c>
      <c r="B1177" s="8" t="s">
        <v>37</v>
      </c>
      <c r="C1177" s="11">
        <v>1629.0</v>
      </c>
      <c r="D1177" s="10">
        <v>14.0</v>
      </c>
      <c r="E1177" s="10">
        <v>210.0</v>
      </c>
      <c r="F1177" s="10">
        <v>2024.0</v>
      </c>
      <c r="G1177" s="10"/>
    </row>
    <row r="1178">
      <c r="A1178" s="7">
        <v>45385.0</v>
      </c>
      <c r="B1178" s="8" t="s">
        <v>34</v>
      </c>
      <c r="C1178" s="9">
        <v>200.0</v>
      </c>
      <c r="D1178" s="10">
        <v>14.0</v>
      </c>
      <c r="E1178" s="10">
        <v>210.0</v>
      </c>
      <c r="F1178" s="10">
        <v>2024.0</v>
      </c>
      <c r="G1178" s="10"/>
    </row>
    <row r="1179">
      <c r="A1179" s="7">
        <v>45385.0</v>
      </c>
      <c r="B1179" s="8" t="s">
        <v>44</v>
      </c>
      <c r="C1179" s="9">
        <v>482.0</v>
      </c>
      <c r="D1179" s="10">
        <v>14.0</v>
      </c>
      <c r="E1179" s="10">
        <v>210.0</v>
      </c>
      <c r="F1179" s="10">
        <v>2024.0</v>
      </c>
      <c r="G1179" s="10"/>
    </row>
    <row r="1180">
      <c r="A1180" s="7">
        <v>45385.0</v>
      </c>
      <c r="B1180" s="8" t="s">
        <v>40</v>
      </c>
      <c r="C1180" s="9">
        <v>179.0</v>
      </c>
      <c r="D1180" s="10">
        <v>14.0</v>
      </c>
      <c r="E1180" s="10">
        <v>210.0</v>
      </c>
      <c r="F1180" s="10">
        <v>2024.0</v>
      </c>
      <c r="G1180" s="10"/>
    </row>
    <row r="1181">
      <c r="A1181" s="7">
        <v>45392.0</v>
      </c>
      <c r="B1181" s="8" t="s">
        <v>35</v>
      </c>
      <c r="C1181" s="9">
        <v>954.0</v>
      </c>
      <c r="D1181" s="10">
        <v>15.0</v>
      </c>
      <c r="E1181" s="10">
        <v>211.0</v>
      </c>
      <c r="F1181" s="10">
        <v>2024.0</v>
      </c>
      <c r="G1181" s="10"/>
    </row>
    <row r="1182">
      <c r="A1182" s="7">
        <v>45392.0</v>
      </c>
      <c r="B1182" s="8" t="s">
        <v>41</v>
      </c>
      <c r="C1182" s="9">
        <v>102.0</v>
      </c>
      <c r="D1182" s="10">
        <v>15.0</v>
      </c>
      <c r="E1182" s="10">
        <v>211.0</v>
      </c>
      <c r="F1182" s="10">
        <v>2024.0</v>
      </c>
      <c r="G1182" s="10"/>
    </row>
    <row r="1183">
      <c r="A1183" s="7">
        <v>45392.0</v>
      </c>
      <c r="B1183" s="8" t="s">
        <v>36</v>
      </c>
      <c r="C1183" s="11">
        <v>1588.0</v>
      </c>
      <c r="D1183" s="10">
        <v>15.0</v>
      </c>
      <c r="E1183" s="10">
        <v>211.0</v>
      </c>
      <c r="F1183" s="10">
        <v>2024.0</v>
      </c>
      <c r="G1183" s="10"/>
    </row>
    <row r="1184">
      <c r="A1184" s="7">
        <v>45392.0</v>
      </c>
      <c r="B1184" s="8" t="s">
        <v>49</v>
      </c>
      <c r="C1184" s="9">
        <v>250.0</v>
      </c>
      <c r="D1184" s="10">
        <v>15.0</v>
      </c>
      <c r="E1184" s="10">
        <v>211.0</v>
      </c>
      <c r="F1184" s="10">
        <v>2024.0</v>
      </c>
      <c r="G1184" s="10"/>
    </row>
    <row r="1185">
      <c r="A1185" s="7">
        <v>45392.0</v>
      </c>
      <c r="B1185" s="8" t="s">
        <v>34</v>
      </c>
      <c r="C1185" s="11">
        <v>4287.0</v>
      </c>
      <c r="D1185" s="10">
        <v>15.0</v>
      </c>
      <c r="E1185" s="10">
        <v>211.0</v>
      </c>
      <c r="F1185" s="10">
        <v>2024.0</v>
      </c>
      <c r="G1185" s="10"/>
    </row>
    <row r="1186">
      <c r="A1186" s="7">
        <v>45392.0</v>
      </c>
      <c r="B1186" s="8" t="s">
        <v>44</v>
      </c>
      <c r="C1186" s="11">
        <v>2640.0</v>
      </c>
      <c r="D1186" s="10">
        <v>15.0</v>
      </c>
      <c r="E1186" s="10">
        <v>211.0</v>
      </c>
      <c r="F1186" s="10">
        <v>2024.0</v>
      </c>
      <c r="G1186" s="10"/>
    </row>
    <row r="1187">
      <c r="A1187" s="7">
        <v>45392.0</v>
      </c>
      <c r="B1187" s="8" t="s">
        <v>40</v>
      </c>
      <c r="C1187" s="11">
        <v>1038.0</v>
      </c>
      <c r="D1187" s="10">
        <v>15.0</v>
      </c>
      <c r="E1187" s="10">
        <v>211.0</v>
      </c>
      <c r="F1187" s="10">
        <v>2024.0</v>
      </c>
      <c r="G1187" s="10"/>
    </row>
    <row r="1188">
      <c r="A1188" s="7">
        <v>45399.0</v>
      </c>
      <c r="B1188" s="8" t="s">
        <v>35</v>
      </c>
      <c r="C1188" s="11">
        <v>1229.0</v>
      </c>
      <c r="D1188" s="10">
        <v>16.0</v>
      </c>
      <c r="E1188" s="10">
        <v>212.0</v>
      </c>
      <c r="F1188" s="10">
        <v>2024.0</v>
      </c>
      <c r="G1188" s="10"/>
    </row>
    <row r="1189">
      <c r="A1189" s="7">
        <v>45399.0</v>
      </c>
      <c r="B1189" s="8" t="s">
        <v>36</v>
      </c>
      <c r="C1189" s="11">
        <v>2750.0</v>
      </c>
      <c r="D1189" s="10">
        <v>16.0</v>
      </c>
      <c r="E1189" s="10">
        <v>212.0</v>
      </c>
      <c r="F1189" s="10">
        <v>2024.0</v>
      </c>
      <c r="G1189" s="10"/>
    </row>
    <row r="1190">
      <c r="A1190" s="7">
        <v>45399.0</v>
      </c>
      <c r="B1190" s="8" t="s">
        <v>37</v>
      </c>
      <c r="C1190" s="9">
        <v>968.0</v>
      </c>
      <c r="D1190" s="10">
        <v>16.0</v>
      </c>
      <c r="E1190" s="10">
        <v>212.0</v>
      </c>
      <c r="F1190" s="10">
        <v>2024.0</v>
      </c>
      <c r="G1190" s="10"/>
    </row>
    <row r="1191">
      <c r="A1191" s="7">
        <v>45399.0</v>
      </c>
      <c r="B1191" s="8" t="s">
        <v>34</v>
      </c>
      <c r="C1191" s="11">
        <v>2052.0</v>
      </c>
      <c r="D1191" s="10">
        <v>16.0</v>
      </c>
      <c r="E1191" s="10">
        <v>212.0</v>
      </c>
      <c r="F1191" s="10">
        <v>2024.0</v>
      </c>
      <c r="G1191" s="10"/>
    </row>
    <row r="1192">
      <c r="A1192" s="7">
        <v>45399.0</v>
      </c>
      <c r="B1192" s="8" t="s">
        <v>44</v>
      </c>
      <c r="C1192" s="11">
        <v>2668.0</v>
      </c>
      <c r="D1192" s="10">
        <v>16.0</v>
      </c>
      <c r="E1192" s="10">
        <v>212.0</v>
      </c>
      <c r="F1192" s="10">
        <v>2024.0</v>
      </c>
      <c r="G1192" s="10"/>
    </row>
    <row r="1193">
      <c r="A1193" s="7">
        <v>45399.0</v>
      </c>
      <c r="B1193" s="8" t="s">
        <v>40</v>
      </c>
      <c r="C1193" s="9">
        <v>609.0</v>
      </c>
      <c r="D1193" s="10">
        <v>16.0</v>
      </c>
      <c r="E1193" s="10">
        <v>212.0</v>
      </c>
      <c r="F1193" s="10">
        <v>2024.0</v>
      </c>
      <c r="G1193" s="10"/>
    </row>
    <row r="1194">
      <c r="A1194" s="7">
        <v>45405.0</v>
      </c>
      <c r="B1194" s="8" t="s">
        <v>35</v>
      </c>
      <c r="C1194" s="11">
        <v>2244.0</v>
      </c>
      <c r="D1194" s="10">
        <v>17.0</v>
      </c>
      <c r="E1194" s="10">
        <v>213.0</v>
      </c>
      <c r="F1194" s="10">
        <v>2024.0</v>
      </c>
      <c r="G1194" s="10"/>
    </row>
    <row r="1195">
      <c r="A1195" s="7">
        <v>45405.0</v>
      </c>
      <c r="B1195" s="8" t="s">
        <v>51</v>
      </c>
      <c r="C1195" s="9">
        <v>50.0</v>
      </c>
      <c r="D1195" s="10">
        <v>17.0</v>
      </c>
      <c r="E1195" s="10">
        <v>213.0</v>
      </c>
      <c r="F1195" s="10">
        <v>2024.0</v>
      </c>
      <c r="G1195" s="10"/>
    </row>
    <row r="1196">
      <c r="A1196" s="7">
        <v>45405.0</v>
      </c>
      <c r="B1196" s="8" t="s">
        <v>36</v>
      </c>
      <c r="C1196" s="11">
        <v>2223.0</v>
      </c>
      <c r="D1196" s="10">
        <v>17.0</v>
      </c>
      <c r="E1196" s="10">
        <v>213.0</v>
      </c>
      <c r="F1196" s="10">
        <v>2024.0</v>
      </c>
      <c r="G1196" s="10"/>
    </row>
    <row r="1197">
      <c r="A1197" s="7">
        <v>45405.0</v>
      </c>
      <c r="B1197" s="8" t="s">
        <v>37</v>
      </c>
      <c r="C1197" s="11">
        <v>1122.0</v>
      </c>
      <c r="D1197" s="10">
        <v>17.0</v>
      </c>
      <c r="E1197" s="10">
        <v>213.0</v>
      </c>
      <c r="F1197" s="10">
        <v>2024.0</v>
      </c>
      <c r="G1197" s="10"/>
    </row>
    <row r="1198">
      <c r="A1198" s="7">
        <v>45405.0</v>
      </c>
      <c r="B1198" s="8" t="s">
        <v>49</v>
      </c>
      <c r="C1198" s="9">
        <v>350.0</v>
      </c>
      <c r="D1198" s="10">
        <v>17.0</v>
      </c>
      <c r="E1198" s="10">
        <v>213.0</v>
      </c>
      <c r="F1198" s="10">
        <v>2024.0</v>
      </c>
      <c r="G1198" s="10"/>
    </row>
    <row r="1199">
      <c r="A1199" s="7">
        <v>45405.0</v>
      </c>
      <c r="B1199" s="8" t="s">
        <v>34</v>
      </c>
      <c r="C1199" s="11">
        <v>3040.0</v>
      </c>
      <c r="D1199" s="10">
        <v>17.0</v>
      </c>
      <c r="E1199" s="10">
        <v>213.0</v>
      </c>
      <c r="F1199" s="10">
        <v>2024.0</v>
      </c>
      <c r="G1199" s="10"/>
    </row>
    <row r="1200">
      <c r="A1200" s="7">
        <v>45405.0</v>
      </c>
      <c r="B1200" s="8" t="s">
        <v>44</v>
      </c>
      <c r="C1200" s="11">
        <v>1344.0</v>
      </c>
      <c r="D1200" s="10">
        <v>17.0</v>
      </c>
      <c r="E1200" s="10">
        <v>213.0</v>
      </c>
      <c r="F1200" s="10">
        <v>2024.0</v>
      </c>
      <c r="G1200" s="10"/>
    </row>
    <row r="1201">
      <c r="A1201" s="7">
        <v>45405.0</v>
      </c>
      <c r="B1201" s="8" t="s">
        <v>40</v>
      </c>
      <c r="C1201" s="9">
        <v>527.0</v>
      </c>
      <c r="D1201" s="10">
        <v>17.0</v>
      </c>
      <c r="E1201" s="10">
        <v>213.0</v>
      </c>
      <c r="F1201" s="10">
        <v>2024.0</v>
      </c>
      <c r="G1201" s="10"/>
    </row>
    <row r="1202">
      <c r="A1202" s="7">
        <v>45413.0</v>
      </c>
      <c r="B1202" s="8" t="s">
        <v>35</v>
      </c>
      <c r="C1202" s="11">
        <v>1057.0</v>
      </c>
      <c r="D1202" s="10">
        <v>18.0</v>
      </c>
      <c r="E1202" s="10">
        <v>214.0</v>
      </c>
      <c r="F1202" s="10">
        <v>2024.0</v>
      </c>
      <c r="G1202" s="10"/>
    </row>
    <row r="1203">
      <c r="A1203" s="7">
        <v>45413.0</v>
      </c>
      <c r="B1203" s="8" t="s">
        <v>41</v>
      </c>
      <c r="C1203" s="9">
        <v>112.0</v>
      </c>
      <c r="D1203" s="10">
        <v>18.0</v>
      </c>
      <c r="E1203" s="10">
        <v>214.0</v>
      </c>
      <c r="F1203" s="10">
        <v>2024.0</v>
      </c>
      <c r="G1203" s="10"/>
    </row>
    <row r="1204">
      <c r="A1204" s="7">
        <v>45413.0</v>
      </c>
      <c r="B1204" s="8" t="s">
        <v>36</v>
      </c>
      <c r="C1204" s="11">
        <v>2174.0</v>
      </c>
      <c r="D1204" s="10">
        <v>18.0</v>
      </c>
      <c r="E1204" s="10">
        <v>214.0</v>
      </c>
      <c r="F1204" s="10">
        <v>2024.0</v>
      </c>
      <c r="G1204" s="10"/>
    </row>
    <row r="1205">
      <c r="A1205" s="7">
        <v>45413.0</v>
      </c>
      <c r="B1205" s="8" t="s">
        <v>37</v>
      </c>
      <c r="C1205" s="11">
        <v>1777.0</v>
      </c>
      <c r="D1205" s="10">
        <v>18.0</v>
      </c>
      <c r="E1205" s="10">
        <v>214.0</v>
      </c>
      <c r="F1205" s="10">
        <v>2024.0</v>
      </c>
      <c r="G1205" s="10"/>
    </row>
    <row r="1206">
      <c r="A1206" s="7">
        <v>45413.0</v>
      </c>
      <c r="B1206" s="8" t="s">
        <v>49</v>
      </c>
      <c r="C1206" s="9">
        <v>274.0</v>
      </c>
      <c r="D1206" s="10">
        <v>18.0</v>
      </c>
      <c r="E1206" s="10">
        <v>214.0</v>
      </c>
      <c r="F1206" s="10">
        <v>2024.0</v>
      </c>
      <c r="G1206" s="10"/>
    </row>
    <row r="1207">
      <c r="A1207" s="7">
        <v>45413.0</v>
      </c>
      <c r="B1207" s="8" t="s">
        <v>34</v>
      </c>
      <c r="C1207" s="11">
        <v>2382.0</v>
      </c>
      <c r="D1207" s="10">
        <v>18.0</v>
      </c>
      <c r="E1207" s="10">
        <v>214.0</v>
      </c>
      <c r="F1207" s="10">
        <v>2024.0</v>
      </c>
      <c r="G1207" s="10"/>
    </row>
    <row r="1208">
      <c r="A1208" s="7">
        <v>45413.0</v>
      </c>
      <c r="B1208" s="8" t="s">
        <v>44</v>
      </c>
      <c r="C1208" s="9">
        <v>968.0</v>
      </c>
      <c r="D1208" s="10">
        <v>18.0</v>
      </c>
      <c r="E1208" s="10">
        <v>214.0</v>
      </c>
      <c r="F1208" s="10">
        <v>2024.0</v>
      </c>
      <c r="G1208" s="10"/>
    </row>
    <row r="1209">
      <c r="A1209" s="7">
        <v>45413.0</v>
      </c>
      <c r="B1209" s="8" t="s">
        <v>40</v>
      </c>
      <c r="C1209" s="11">
        <v>1282.0</v>
      </c>
      <c r="D1209" s="10">
        <v>18.0</v>
      </c>
      <c r="E1209" s="10">
        <v>214.0</v>
      </c>
      <c r="F1209" s="10">
        <v>2024.0</v>
      </c>
      <c r="G1209" s="10"/>
    </row>
    <row r="1210">
      <c r="A1210" s="7">
        <v>45420.0</v>
      </c>
      <c r="B1210" s="8" t="s">
        <v>35</v>
      </c>
      <c r="C1210" s="11">
        <v>1405.0</v>
      </c>
      <c r="D1210" s="10">
        <v>19.0</v>
      </c>
      <c r="E1210" s="10">
        <v>215.0</v>
      </c>
      <c r="F1210" s="10">
        <v>2024.0</v>
      </c>
      <c r="G1210" s="10"/>
    </row>
    <row r="1211">
      <c r="A1211" s="7">
        <v>45420.0</v>
      </c>
      <c r="B1211" s="8" t="s">
        <v>41</v>
      </c>
      <c r="C1211" s="9">
        <v>72.0</v>
      </c>
      <c r="D1211" s="10">
        <v>19.0</v>
      </c>
      <c r="E1211" s="10">
        <v>215.0</v>
      </c>
      <c r="F1211" s="10">
        <v>2024.0</v>
      </c>
      <c r="G1211" s="10"/>
    </row>
    <row r="1212">
      <c r="A1212" s="7">
        <v>45420.0</v>
      </c>
      <c r="B1212" s="8" t="s">
        <v>36</v>
      </c>
      <c r="C1212" s="11">
        <v>1944.0</v>
      </c>
      <c r="D1212" s="10">
        <v>19.0</v>
      </c>
      <c r="E1212" s="10">
        <v>215.0</v>
      </c>
      <c r="F1212" s="10">
        <v>2024.0</v>
      </c>
      <c r="G1212" s="10"/>
    </row>
    <row r="1213">
      <c r="A1213" s="7">
        <v>45420.0</v>
      </c>
      <c r="B1213" s="8" t="s">
        <v>37</v>
      </c>
      <c r="C1213" s="9">
        <v>916.0</v>
      </c>
      <c r="D1213" s="10">
        <v>19.0</v>
      </c>
      <c r="E1213" s="10">
        <v>215.0</v>
      </c>
      <c r="F1213" s="10">
        <v>2024.0</v>
      </c>
      <c r="G1213" s="10"/>
    </row>
    <row r="1214">
      <c r="A1214" s="7">
        <v>45420.0</v>
      </c>
      <c r="B1214" s="8" t="s">
        <v>49</v>
      </c>
      <c r="C1214" s="9">
        <v>244.0</v>
      </c>
      <c r="D1214" s="10">
        <v>19.0</v>
      </c>
      <c r="E1214" s="10">
        <v>215.0</v>
      </c>
      <c r="F1214" s="10">
        <v>2024.0</v>
      </c>
      <c r="G1214" s="10"/>
    </row>
    <row r="1215">
      <c r="A1215" s="7">
        <v>45420.0</v>
      </c>
      <c r="B1215" s="8" t="s">
        <v>34</v>
      </c>
      <c r="C1215" s="11">
        <v>1559.0</v>
      </c>
      <c r="D1215" s="10">
        <v>19.0</v>
      </c>
      <c r="E1215" s="10">
        <v>215.0</v>
      </c>
      <c r="F1215" s="10">
        <v>2024.0</v>
      </c>
      <c r="G1215" s="10"/>
    </row>
    <row r="1216">
      <c r="A1216" s="7">
        <v>45420.0</v>
      </c>
      <c r="B1216" s="8" t="s">
        <v>44</v>
      </c>
      <c r="C1216" s="9">
        <v>507.0</v>
      </c>
      <c r="D1216" s="10">
        <v>19.0</v>
      </c>
      <c r="E1216" s="10">
        <v>215.0</v>
      </c>
      <c r="F1216" s="10">
        <v>2024.0</v>
      </c>
      <c r="G1216" s="10"/>
    </row>
    <row r="1217">
      <c r="A1217" s="7">
        <v>45420.0</v>
      </c>
      <c r="B1217" s="8" t="s">
        <v>40</v>
      </c>
      <c r="C1217" s="11">
        <v>1168.0</v>
      </c>
      <c r="D1217" s="10">
        <v>19.0</v>
      </c>
      <c r="E1217" s="10">
        <v>215.0</v>
      </c>
      <c r="F1217" s="10">
        <v>2024.0</v>
      </c>
      <c r="G1217" s="10"/>
    </row>
    <row r="1218">
      <c r="A1218" s="7">
        <v>45427.0</v>
      </c>
      <c r="B1218" s="8" t="s">
        <v>35</v>
      </c>
      <c r="C1218" s="11">
        <v>1355.0</v>
      </c>
      <c r="D1218" s="10">
        <v>20.0</v>
      </c>
      <c r="E1218" s="10">
        <v>216.0</v>
      </c>
      <c r="F1218" s="10">
        <v>2024.0</v>
      </c>
      <c r="G1218" s="10"/>
    </row>
    <row r="1219">
      <c r="A1219" s="7">
        <v>45427.0</v>
      </c>
      <c r="B1219" s="8" t="s">
        <v>41</v>
      </c>
      <c r="C1219" s="9">
        <v>92.0</v>
      </c>
      <c r="D1219" s="10">
        <v>20.0</v>
      </c>
      <c r="E1219" s="10">
        <v>216.0</v>
      </c>
      <c r="F1219" s="10">
        <v>2024.0</v>
      </c>
      <c r="G1219" s="10"/>
    </row>
    <row r="1220">
      <c r="A1220" s="7">
        <v>45427.0</v>
      </c>
      <c r="B1220" s="8" t="s">
        <v>36</v>
      </c>
      <c r="C1220" s="11">
        <v>2477.0</v>
      </c>
      <c r="D1220" s="10">
        <v>20.0</v>
      </c>
      <c r="E1220" s="10">
        <v>216.0</v>
      </c>
      <c r="F1220" s="10">
        <v>2024.0</v>
      </c>
      <c r="G1220" s="10"/>
    </row>
    <row r="1221">
      <c r="A1221" s="7">
        <v>45427.0</v>
      </c>
      <c r="B1221" s="8" t="s">
        <v>37</v>
      </c>
      <c r="C1221" s="11">
        <v>1259.0</v>
      </c>
      <c r="D1221" s="10">
        <v>20.0</v>
      </c>
      <c r="E1221" s="10">
        <v>216.0</v>
      </c>
      <c r="F1221" s="10">
        <v>2024.0</v>
      </c>
      <c r="G1221" s="10"/>
    </row>
    <row r="1222">
      <c r="A1222" s="7">
        <v>45427.0</v>
      </c>
      <c r="B1222" s="8" t="s">
        <v>49</v>
      </c>
      <c r="C1222" s="9">
        <v>484.0</v>
      </c>
      <c r="D1222" s="10">
        <v>20.0</v>
      </c>
      <c r="E1222" s="10">
        <v>216.0</v>
      </c>
      <c r="F1222" s="10">
        <v>2024.0</v>
      </c>
      <c r="G1222" s="10"/>
    </row>
    <row r="1223">
      <c r="A1223" s="7">
        <v>45427.0</v>
      </c>
      <c r="B1223" s="8" t="s">
        <v>34</v>
      </c>
      <c r="C1223" s="11">
        <v>2333.0</v>
      </c>
      <c r="D1223" s="10">
        <v>20.0</v>
      </c>
      <c r="E1223" s="10">
        <v>216.0</v>
      </c>
      <c r="F1223" s="10">
        <v>2024.0</v>
      </c>
      <c r="G1223" s="10"/>
    </row>
    <row r="1224">
      <c r="A1224" s="7">
        <v>45427.0</v>
      </c>
      <c r="B1224" s="8" t="s">
        <v>44</v>
      </c>
      <c r="C1224" s="9">
        <v>673.0</v>
      </c>
      <c r="D1224" s="10">
        <v>20.0</v>
      </c>
      <c r="E1224" s="10">
        <v>216.0</v>
      </c>
      <c r="F1224" s="10">
        <v>2024.0</v>
      </c>
      <c r="G1224" s="10"/>
    </row>
    <row r="1225">
      <c r="A1225" s="7">
        <v>45427.0</v>
      </c>
      <c r="B1225" s="8" t="s">
        <v>40</v>
      </c>
      <c r="C1225" s="9">
        <v>581.0</v>
      </c>
      <c r="D1225" s="10">
        <v>20.0</v>
      </c>
      <c r="E1225" s="10">
        <v>216.0</v>
      </c>
      <c r="F1225" s="10">
        <v>2024.0</v>
      </c>
      <c r="G1225" s="10"/>
    </row>
    <row r="1226">
      <c r="A1226" s="7">
        <v>45434.0</v>
      </c>
      <c r="B1226" s="8" t="s">
        <v>35</v>
      </c>
      <c r="C1226" s="9">
        <v>848.0</v>
      </c>
      <c r="D1226" s="10">
        <v>21.0</v>
      </c>
      <c r="E1226" s="10">
        <v>217.0</v>
      </c>
      <c r="F1226" s="10">
        <v>2024.0</v>
      </c>
      <c r="G1226" s="10"/>
    </row>
    <row r="1227">
      <c r="A1227" s="7">
        <v>45434.0</v>
      </c>
      <c r="B1227" s="8" t="s">
        <v>36</v>
      </c>
      <c r="C1227" s="11">
        <v>2341.0</v>
      </c>
      <c r="D1227" s="10">
        <v>21.0</v>
      </c>
      <c r="E1227" s="10">
        <v>217.0</v>
      </c>
      <c r="F1227" s="10">
        <v>2024.0</v>
      </c>
      <c r="G1227" s="10"/>
    </row>
    <row r="1228">
      <c r="A1228" s="7">
        <v>45434.0</v>
      </c>
      <c r="B1228" s="8" t="s">
        <v>37</v>
      </c>
      <c r="C1228" s="9">
        <v>582.0</v>
      </c>
      <c r="D1228" s="10">
        <v>21.0</v>
      </c>
      <c r="E1228" s="10">
        <v>217.0</v>
      </c>
      <c r="F1228" s="10">
        <v>2024.0</v>
      </c>
      <c r="G1228" s="10"/>
    </row>
    <row r="1229">
      <c r="A1229" s="7">
        <v>45434.0</v>
      </c>
      <c r="B1229" s="8" t="s">
        <v>49</v>
      </c>
      <c r="C1229" s="9">
        <v>278.0</v>
      </c>
      <c r="D1229" s="10">
        <v>21.0</v>
      </c>
      <c r="E1229" s="10">
        <v>217.0</v>
      </c>
      <c r="F1229" s="10">
        <v>2024.0</v>
      </c>
      <c r="G1229" s="10"/>
    </row>
    <row r="1230">
      <c r="A1230" s="7">
        <v>45434.0</v>
      </c>
      <c r="B1230" s="8" t="s">
        <v>34</v>
      </c>
      <c r="C1230" s="9">
        <v>402.0</v>
      </c>
      <c r="D1230" s="10">
        <v>21.0</v>
      </c>
      <c r="E1230" s="10">
        <v>217.0</v>
      </c>
      <c r="F1230" s="10">
        <v>2024.0</v>
      </c>
      <c r="G1230" s="10"/>
    </row>
    <row r="1231">
      <c r="A1231" s="7">
        <v>45434.0</v>
      </c>
      <c r="B1231" s="8" t="s">
        <v>44</v>
      </c>
      <c r="C1231" s="9">
        <v>533.0</v>
      </c>
      <c r="D1231" s="10">
        <v>21.0</v>
      </c>
      <c r="E1231" s="10">
        <v>217.0</v>
      </c>
      <c r="F1231" s="10">
        <v>2024.0</v>
      </c>
      <c r="G1231" s="10"/>
    </row>
    <row r="1232">
      <c r="A1232" s="7">
        <v>45434.0</v>
      </c>
      <c r="B1232" s="8" t="s">
        <v>40</v>
      </c>
      <c r="C1232" s="9">
        <v>644.0</v>
      </c>
      <c r="D1232" s="10">
        <v>21.0</v>
      </c>
      <c r="E1232" s="10">
        <v>217.0</v>
      </c>
      <c r="F1232" s="10">
        <v>2024.0</v>
      </c>
      <c r="G1232" s="10"/>
    </row>
    <row r="1233">
      <c r="A1233" s="7">
        <v>45440.0</v>
      </c>
      <c r="B1233" s="8" t="s">
        <v>35</v>
      </c>
      <c r="C1233" s="9">
        <v>584.0</v>
      </c>
      <c r="D1233" s="10">
        <v>22.0</v>
      </c>
      <c r="E1233" s="10">
        <v>218.0</v>
      </c>
      <c r="F1233" s="10">
        <v>2024.0</v>
      </c>
      <c r="G1233" s="10"/>
    </row>
    <row r="1234">
      <c r="A1234" s="7">
        <v>45440.0</v>
      </c>
      <c r="B1234" s="8" t="s">
        <v>36</v>
      </c>
      <c r="C1234" s="11">
        <v>1740.0</v>
      </c>
      <c r="D1234" s="10">
        <v>22.0</v>
      </c>
      <c r="E1234" s="10">
        <v>218.0</v>
      </c>
      <c r="F1234" s="10">
        <v>2024.0</v>
      </c>
      <c r="G1234" s="10"/>
    </row>
    <row r="1235">
      <c r="A1235" s="7">
        <v>45440.0</v>
      </c>
      <c r="B1235" s="8" t="s">
        <v>37</v>
      </c>
      <c r="C1235" s="9">
        <v>852.0</v>
      </c>
      <c r="D1235" s="10">
        <v>22.0</v>
      </c>
      <c r="E1235" s="10">
        <v>218.0</v>
      </c>
      <c r="F1235" s="10">
        <v>2024.0</v>
      </c>
      <c r="G1235" s="10"/>
    </row>
    <row r="1236">
      <c r="A1236" s="7">
        <v>45440.0</v>
      </c>
      <c r="B1236" s="8" t="s">
        <v>49</v>
      </c>
      <c r="C1236" s="9">
        <v>250.0</v>
      </c>
      <c r="D1236" s="10">
        <v>22.0</v>
      </c>
      <c r="E1236" s="10">
        <v>218.0</v>
      </c>
      <c r="F1236" s="10">
        <v>2024.0</v>
      </c>
      <c r="G1236" s="10"/>
    </row>
    <row r="1237">
      <c r="A1237" s="7">
        <v>45440.0</v>
      </c>
      <c r="B1237" s="8" t="s">
        <v>34</v>
      </c>
      <c r="C1237" s="9">
        <v>806.0</v>
      </c>
      <c r="D1237" s="10">
        <v>22.0</v>
      </c>
      <c r="E1237" s="10">
        <v>218.0</v>
      </c>
      <c r="F1237" s="10">
        <v>2024.0</v>
      </c>
      <c r="G1237" s="10"/>
    </row>
    <row r="1238">
      <c r="A1238" s="7">
        <v>45440.0</v>
      </c>
      <c r="B1238" s="8" t="s">
        <v>44</v>
      </c>
      <c r="C1238" s="9">
        <v>511.0</v>
      </c>
      <c r="D1238" s="10">
        <v>22.0</v>
      </c>
      <c r="E1238" s="10">
        <v>218.0</v>
      </c>
      <c r="F1238" s="10">
        <v>2024.0</v>
      </c>
      <c r="G1238" s="10"/>
    </row>
    <row r="1239">
      <c r="A1239" s="7">
        <v>45440.0</v>
      </c>
      <c r="B1239" s="8" t="s">
        <v>40</v>
      </c>
      <c r="C1239" s="9">
        <v>828.0</v>
      </c>
      <c r="D1239" s="10">
        <v>22.0</v>
      </c>
      <c r="E1239" s="10">
        <v>218.0</v>
      </c>
      <c r="F1239" s="10">
        <v>2024.0</v>
      </c>
      <c r="G1239" s="10"/>
    </row>
    <row r="1240">
      <c r="A1240" s="7">
        <v>45448.0</v>
      </c>
      <c r="B1240" s="8" t="s">
        <v>35</v>
      </c>
      <c r="C1240" s="11">
        <v>1569.0</v>
      </c>
      <c r="D1240" s="10">
        <v>23.0</v>
      </c>
      <c r="E1240" s="10">
        <v>219.0</v>
      </c>
      <c r="F1240" s="10">
        <v>2024.0</v>
      </c>
      <c r="G1240" s="10"/>
    </row>
    <row r="1241">
      <c r="A1241" s="7">
        <v>45448.0</v>
      </c>
      <c r="B1241" s="8" t="s">
        <v>41</v>
      </c>
      <c r="C1241" s="9">
        <v>159.0</v>
      </c>
      <c r="D1241" s="10">
        <v>23.0</v>
      </c>
      <c r="E1241" s="10">
        <v>219.0</v>
      </c>
      <c r="F1241" s="10">
        <v>2024.0</v>
      </c>
      <c r="G1241" s="10"/>
    </row>
    <row r="1242">
      <c r="A1242" s="7">
        <v>45448.0</v>
      </c>
      <c r="B1242" s="8" t="s">
        <v>36</v>
      </c>
      <c r="C1242" s="11">
        <v>1552.0</v>
      </c>
      <c r="D1242" s="10">
        <v>23.0</v>
      </c>
      <c r="E1242" s="10">
        <v>219.0</v>
      </c>
      <c r="F1242" s="10">
        <v>2024.0</v>
      </c>
      <c r="G1242" s="10"/>
    </row>
    <row r="1243">
      <c r="A1243" s="7">
        <v>45448.0</v>
      </c>
      <c r="B1243" s="8" t="s">
        <v>37</v>
      </c>
      <c r="C1243" s="11">
        <v>1436.0</v>
      </c>
      <c r="D1243" s="10">
        <v>23.0</v>
      </c>
      <c r="E1243" s="10">
        <v>219.0</v>
      </c>
      <c r="F1243" s="10">
        <v>2024.0</v>
      </c>
      <c r="G1243" s="10"/>
    </row>
    <row r="1244">
      <c r="A1244" s="7">
        <v>45448.0</v>
      </c>
      <c r="B1244" s="8" t="s">
        <v>49</v>
      </c>
      <c r="C1244" s="9">
        <v>735.0</v>
      </c>
      <c r="D1244" s="10">
        <v>23.0</v>
      </c>
      <c r="E1244" s="10">
        <v>219.0</v>
      </c>
      <c r="F1244" s="10">
        <v>2024.0</v>
      </c>
      <c r="G1244" s="10"/>
    </row>
    <row r="1245">
      <c r="A1245" s="7">
        <v>45448.0</v>
      </c>
      <c r="B1245" s="8" t="s">
        <v>34</v>
      </c>
      <c r="C1245" s="9">
        <v>100.0</v>
      </c>
      <c r="D1245" s="10">
        <v>23.0</v>
      </c>
      <c r="E1245" s="10">
        <v>219.0</v>
      </c>
      <c r="F1245" s="10">
        <v>2024.0</v>
      </c>
      <c r="G1245" s="10"/>
    </row>
    <row r="1246">
      <c r="A1246" s="7">
        <v>45448.0</v>
      </c>
      <c r="B1246" s="8" t="s">
        <v>44</v>
      </c>
      <c r="C1246" s="9">
        <v>707.0</v>
      </c>
      <c r="D1246" s="10">
        <v>23.0</v>
      </c>
      <c r="E1246" s="10">
        <v>219.0</v>
      </c>
      <c r="F1246" s="10">
        <v>2024.0</v>
      </c>
      <c r="G1246" s="10"/>
    </row>
    <row r="1247">
      <c r="A1247" s="7">
        <v>45448.0</v>
      </c>
      <c r="B1247" s="8" t="s">
        <v>40</v>
      </c>
      <c r="C1247" s="9">
        <v>721.0</v>
      </c>
      <c r="D1247" s="10">
        <v>23.0</v>
      </c>
      <c r="E1247" s="10">
        <v>219.0</v>
      </c>
      <c r="F1247" s="10">
        <v>2024.0</v>
      </c>
      <c r="G1247" s="10"/>
    </row>
    <row r="1248">
      <c r="A1248" s="7">
        <v>45455.0</v>
      </c>
      <c r="B1248" s="8" t="s">
        <v>35</v>
      </c>
      <c r="C1248" s="11">
        <v>2135.0</v>
      </c>
      <c r="D1248" s="10">
        <v>24.0</v>
      </c>
      <c r="E1248" s="10">
        <v>220.0</v>
      </c>
      <c r="F1248" s="10">
        <v>2024.0</v>
      </c>
      <c r="G1248" s="10"/>
    </row>
    <row r="1249">
      <c r="A1249" s="7">
        <v>45455.0</v>
      </c>
      <c r="B1249" s="8" t="s">
        <v>41</v>
      </c>
      <c r="C1249" s="9">
        <v>72.0</v>
      </c>
      <c r="D1249" s="10">
        <v>24.0</v>
      </c>
      <c r="E1249" s="10">
        <v>220.0</v>
      </c>
      <c r="F1249" s="10">
        <v>2024.0</v>
      </c>
      <c r="G1249" s="10"/>
    </row>
    <row r="1250">
      <c r="A1250" s="7">
        <v>45455.0</v>
      </c>
      <c r="B1250" s="8" t="s">
        <v>36</v>
      </c>
      <c r="C1250" s="11">
        <v>2400.0</v>
      </c>
      <c r="D1250" s="10">
        <v>24.0</v>
      </c>
      <c r="E1250" s="10">
        <v>220.0</v>
      </c>
      <c r="F1250" s="10">
        <v>2024.0</v>
      </c>
      <c r="G1250" s="10"/>
    </row>
    <row r="1251">
      <c r="A1251" s="7">
        <v>45455.0</v>
      </c>
      <c r="B1251" s="8" t="s">
        <v>37</v>
      </c>
      <c r="C1251" s="11">
        <v>2323.0</v>
      </c>
      <c r="D1251" s="10">
        <v>24.0</v>
      </c>
      <c r="E1251" s="10">
        <v>220.0</v>
      </c>
      <c r="F1251" s="10">
        <v>2024.0</v>
      </c>
      <c r="G1251" s="10"/>
    </row>
    <row r="1252">
      <c r="A1252" s="7">
        <v>45455.0</v>
      </c>
      <c r="B1252" s="8" t="s">
        <v>49</v>
      </c>
      <c r="C1252" s="9">
        <v>125.0</v>
      </c>
      <c r="D1252" s="10">
        <v>24.0</v>
      </c>
      <c r="E1252" s="10">
        <v>220.0</v>
      </c>
      <c r="F1252" s="10">
        <v>2024.0</v>
      </c>
      <c r="G1252" s="10"/>
    </row>
    <row r="1253">
      <c r="A1253" s="7">
        <v>45455.0</v>
      </c>
      <c r="B1253" s="8" t="s">
        <v>34</v>
      </c>
      <c r="C1253" s="11">
        <v>2084.0</v>
      </c>
      <c r="D1253" s="10">
        <v>24.0</v>
      </c>
      <c r="E1253" s="10">
        <v>220.0</v>
      </c>
      <c r="F1253" s="10">
        <v>2024.0</v>
      </c>
      <c r="G1253" s="10"/>
    </row>
    <row r="1254">
      <c r="A1254" s="7">
        <v>45455.0</v>
      </c>
      <c r="B1254" s="8" t="s">
        <v>44</v>
      </c>
      <c r="C1254" s="9">
        <v>751.0</v>
      </c>
      <c r="D1254" s="10">
        <v>24.0</v>
      </c>
      <c r="E1254" s="10">
        <v>220.0</v>
      </c>
      <c r="F1254" s="10">
        <v>2024.0</v>
      </c>
      <c r="G1254" s="10"/>
    </row>
    <row r="1255">
      <c r="A1255" s="7">
        <v>45455.0</v>
      </c>
      <c r="B1255" s="8" t="s">
        <v>40</v>
      </c>
      <c r="C1255" s="9">
        <v>690.0</v>
      </c>
      <c r="D1255" s="10">
        <v>24.0</v>
      </c>
      <c r="E1255" s="10">
        <v>220.0</v>
      </c>
      <c r="F1255" s="10">
        <v>2024.0</v>
      </c>
      <c r="G1255" s="10"/>
    </row>
    <row r="1256">
      <c r="A1256" s="7">
        <v>45462.0</v>
      </c>
      <c r="B1256" s="8" t="s">
        <v>35</v>
      </c>
      <c r="C1256" s="11">
        <v>1218.0</v>
      </c>
      <c r="D1256" s="10">
        <v>25.0</v>
      </c>
      <c r="E1256" s="10">
        <v>221.0</v>
      </c>
      <c r="F1256" s="10">
        <v>2024.0</v>
      </c>
      <c r="G1256" s="10"/>
    </row>
    <row r="1257">
      <c r="A1257" s="7">
        <v>45462.0</v>
      </c>
      <c r="B1257" s="8" t="s">
        <v>41</v>
      </c>
      <c r="C1257" s="9">
        <v>74.0</v>
      </c>
      <c r="D1257" s="10">
        <v>25.0</v>
      </c>
      <c r="E1257" s="10">
        <v>221.0</v>
      </c>
      <c r="F1257" s="10">
        <v>2024.0</v>
      </c>
      <c r="G1257" s="10"/>
    </row>
    <row r="1258">
      <c r="A1258" s="7">
        <v>45462.0</v>
      </c>
      <c r="B1258" s="8" t="s">
        <v>36</v>
      </c>
      <c r="C1258" s="11">
        <v>1980.0</v>
      </c>
      <c r="D1258" s="10">
        <v>25.0</v>
      </c>
      <c r="E1258" s="10">
        <v>221.0</v>
      </c>
      <c r="F1258" s="10">
        <v>2024.0</v>
      </c>
      <c r="G1258" s="10"/>
    </row>
    <row r="1259">
      <c r="A1259" s="7">
        <v>45462.0</v>
      </c>
      <c r="B1259" s="8" t="s">
        <v>37</v>
      </c>
      <c r="C1259" s="11">
        <v>1695.0</v>
      </c>
      <c r="D1259" s="10">
        <v>25.0</v>
      </c>
      <c r="E1259" s="10">
        <v>221.0</v>
      </c>
      <c r="F1259" s="10">
        <v>2024.0</v>
      </c>
      <c r="G1259" s="10"/>
    </row>
    <row r="1260">
      <c r="A1260" s="7">
        <v>45462.0</v>
      </c>
      <c r="B1260" s="8" t="s">
        <v>49</v>
      </c>
      <c r="C1260" s="9">
        <v>454.0</v>
      </c>
      <c r="D1260" s="10">
        <v>25.0</v>
      </c>
      <c r="E1260" s="10">
        <v>221.0</v>
      </c>
      <c r="F1260" s="10">
        <v>2024.0</v>
      </c>
      <c r="G1260" s="10"/>
    </row>
    <row r="1261">
      <c r="A1261" s="7">
        <v>45462.0</v>
      </c>
      <c r="B1261" s="8" t="s">
        <v>34</v>
      </c>
      <c r="C1261" s="11">
        <v>1432.0</v>
      </c>
      <c r="D1261" s="10">
        <v>25.0</v>
      </c>
      <c r="E1261" s="10">
        <v>221.0</v>
      </c>
      <c r="F1261" s="10">
        <v>2024.0</v>
      </c>
      <c r="G1261" s="10"/>
    </row>
    <row r="1262">
      <c r="A1262" s="7">
        <v>45462.0</v>
      </c>
      <c r="B1262" s="8" t="s">
        <v>44</v>
      </c>
      <c r="C1262" s="9">
        <v>586.0</v>
      </c>
      <c r="D1262" s="10">
        <v>25.0</v>
      </c>
      <c r="E1262" s="10">
        <v>221.0</v>
      </c>
      <c r="F1262" s="10">
        <v>2024.0</v>
      </c>
      <c r="G1262" s="10"/>
    </row>
    <row r="1263">
      <c r="A1263" s="7">
        <v>45462.0</v>
      </c>
      <c r="B1263" s="8" t="s">
        <v>40</v>
      </c>
      <c r="C1263" s="11">
        <v>1088.0</v>
      </c>
      <c r="D1263" s="10">
        <v>25.0</v>
      </c>
      <c r="E1263" s="10">
        <v>221.0</v>
      </c>
      <c r="F1263" s="10">
        <v>2024.0</v>
      </c>
      <c r="G1263" s="10"/>
    </row>
    <row r="1264">
      <c r="A1264" s="7">
        <v>45469.0</v>
      </c>
      <c r="B1264" s="8" t="s">
        <v>35</v>
      </c>
      <c r="C1264" s="11">
        <v>1198.0</v>
      </c>
      <c r="D1264" s="10">
        <v>26.0</v>
      </c>
      <c r="E1264" s="10">
        <v>222.0</v>
      </c>
      <c r="F1264" s="10">
        <v>2024.0</v>
      </c>
      <c r="G1264" s="10"/>
    </row>
    <row r="1265">
      <c r="A1265" s="7">
        <v>45469.0</v>
      </c>
      <c r="B1265" s="8" t="s">
        <v>36</v>
      </c>
      <c r="C1265" s="11">
        <v>1272.0</v>
      </c>
      <c r="D1265" s="10">
        <v>26.0</v>
      </c>
      <c r="E1265" s="10">
        <v>222.0</v>
      </c>
      <c r="F1265" s="10">
        <v>2024.0</v>
      </c>
      <c r="G1265" s="10"/>
    </row>
    <row r="1266">
      <c r="A1266" s="7">
        <v>45469.0</v>
      </c>
      <c r="B1266" s="8" t="s">
        <v>37</v>
      </c>
      <c r="C1266" s="11">
        <v>1715.0</v>
      </c>
      <c r="D1266" s="10">
        <v>26.0</v>
      </c>
      <c r="E1266" s="10">
        <v>222.0</v>
      </c>
      <c r="F1266" s="10">
        <v>2024.0</v>
      </c>
      <c r="G1266" s="10"/>
    </row>
    <row r="1267">
      <c r="A1267" s="7">
        <v>45469.0</v>
      </c>
      <c r="B1267" s="8" t="s">
        <v>49</v>
      </c>
      <c r="C1267" s="9">
        <v>275.0</v>
      </c>
      <c r="D1267" s="10">
        <v>26.0</v>
      </c>
      <c r="E1267" s="10">
        <v>222.0</v>
      </c>
      <c r="F1267" s="10">
        <v>2024.0</v>
      </c>
      <c r="G1267" s="10"/>
    </row>
    <row r="1268">
      <c r="A1268" s="7">
        <v>45469.0</v>
      </c>
      <c r="B1268" s="8" t="s">
        <v>34</v>
      </c>
      <c r="C1268" s="11">
        <v>2972.0</v>
      </c>
      <c r="D1268" s="10">
        <v>26.0</v>
      </c>
      <c r="E1268" s="10">
        <v>222.0</v>
      </c>
      <c r="F1268" s="10">
        <v>2024.0</v>
      </c>
      <c r="G1268" s="10"/>
    </row>
    <row r="1269">
      <c r="A1269" s="7">
        <v>45469.0</v>
      </c>
      <c r="B1269" s="8" t="s">
        <v>44</v>
      </c>
      <c r="C1269" s="9">
        <v>766.0</v>
      </c>
      <c r="D1269" s="10">
        <v>26.0</v>
      </c>
      <c r="E1269" s="10">
        <v>222.0</v>
      </c>
      <c r="F1269" s="10">
        <v>2024.0</v>
      </c>
      <c r="G1269" s="10"/>
    </row>
    <row r="1270">
      <c r="A1270" s="7">
        <v>45469.0</v>
      </c>
      <c r="B1270" s="8" t="s">
        <v>40</v>
      </c>
      <c r="C1270" s="9">
        <v>789.0</v>
      </c>
      <c r="D1270" s="10">
        <v>26.0</v>
      </c>
      <c r="E1270" s="10">
        <v>222.0</v>
      </c>
      <c r="F1270" s="10">
        <v>2024.0</v>
      </c>
      <c r="G1270" s="10"/>
    </row>
    <row r="1271">
      <c r="A1271" s="7">
        <v>45483.0</v>
      </c>
      <c r="B1271" s="8" t="s">
        <v>35</v>
      </c>
      <c r="C1271" s="11">
        <v>1134.0</v>
      </c>
      <c r="D1271" s="10">
        <v>28.0</v>
      </c>
      <c r="E1271" s="10">
        <v>224.0</v>
      </c>
      <c r="F1271" s="10">
        <v>2024.0</v>
      </c>
      <c r="G1271" s="10"/>
    </row>
    <row r="1272">
      <c r="A1272" s="7">
        <v>45483.0</v>
      </c>
      <c r="B1272" s="8" t="s">
        <v>36</v>
      </c>
      <c r="C1272" s="11">
        <v>1681.0</v>
      </c>
      <c r="D1272" s="10">
        <v>28.0</v>
      </c>
      <c r="E1272" s="10">
        <v>224.0</v>
      </c>
      <c r="F1272" s="10">
        <v>2024.0</v>
      </c>
      <c r="G1272" s="10"/>
    </row>
    <row r="1273">
      <c r="A1273" s="7">
        <v>45483.0</v>
      </c>
      <c r="B1273" s="8" t="s">
        <v>37</v>
      </c>
      <c r="C1273" s="11">
        <v>2170.0</v>
      </c>
      <c r="D1273" s="10">
        <v>28.0</v>
      </c>
      <c r="E1273" s="10">
        <v>224.0</v>
      </c>
      <c r="F1273" s="10">
        <v>2024.0</v>
      </c>
      <c r="G1273" s="10"/>
    </row>
    <row r="1274">
      <c r="A1274" s="7">
        <v>45483.0</v>
      </c>
      <c r="B1274" s="8" t="s">
        <v>49</v>
      </c>
      <c r="C1274" s="9">
        <v>426.0</v>
      </c>
      <c r="D1274" s="10">
        <v>28.0</v>
      </c>
      <c r="E1274" s="10">
        <v>224.0</v>
      </c>
      <c r="F1274" s="10">
        <v>2024.0</v>
      </c>
      <c r="G1274" s="10"/>
    </row>
    <row r="1275">
      <c r="A1275" s="7">
        <v>45483.0</v>
      </c>
      <c r="B1275" s="8" t="s">
        <v>34</v>
      </c>
      <c r="C1275" s="11">
        <v>3032.0</v>
      </c>
      <c r="D1275" s="10">
        <v>28.0</v>
      </c>
      <c r="E1275" s="10">
        <v>224.0</v>
      </c>
      <c r="F1275" s="10">
        <v>2024.0</v>
      </c>
      <c r="G1275" s="10"/>
    </row>
    <row r="1276">
      <c r="A1276" s="7">
        <v>45483.0</v>
      </c>
      <c r="B1276" s="8" t="s">
        <v>44</v>
      </c>
      <c r="C1276" s="9">
        <v>784.0</v>
      </c>
      <c r="D1276" s="10">
        <v>28.0</v>
      </c>
      <c r="E1276" s="10">
        <v>224.0</v>
      </c>
      <c r="F1276" s="10">
        <v>2024.0</v>
      </c>
      <c r="G1276" s="10"/>
    </row>
    <row r="1277">
      <c r="A1277" s="7">
        <v>45483.0</v>
      </c>
      <c r="B1277" s="8" t="s">
        <v>40</v>
      </c>
      <c r="C1277" s="9">
        <v>583.0</v>
      </c>
      <c r="D1277" s="10">
        <v>28.0</v>
      </c>
      <c r="E1277" s="10">
        <v>224.0</v>
      </c>
      <c r="F1277" s="10">
        <v>2024.0</v>
      </c>
      <c r="G1277" s="10"/>
    </row>
    <row r="1278">
      <c r="A1278" s="7">
        <v>45490.0</v>
      </c>
      <c r="B1278" s="8" t="s">
        <v>35</v>
      </c>
      <c r="C1278" s="11">
        <v>3333.0</v>
      </c>
      <c r="D1278" s="10">
        <v>29.0</v>
      </c>
      <c r="E1278" s="10">
        <v>225.0</v>
      </c>
      <c r="F1278" s="10">
        <v>2024.0</v>
      </c>
      <c r="G1278" s="10"/>
    </row>
    <row r="1279">
      <c r="A1279" s="7">
        <v>45490.0</v>
      </c>
      <c r="B1279" s="8" t="s">
        <v>41</v>
      </c>
      <c r="C1279" s="9">
        <v>101.0</v>
      </c>
      <c r="D1279" s="10">
        <v>29.0</v>
      </c>
      <c r="E1279" s="10">
        <v>225.0</v>
      </c>
      <c r="F1279" s="10">
        <v>2024.0</v>
      </c>
      <c r="G1279" s="10"/>
    </row>
    <row r="1280">
      <c r="A1280" s="7">
        <v>45490.0</v>
      </c>
      <c r="B1280" s="8" t="s">
        <v>36</v>
      </c>
      <c r="C1280" s="11">
        <v>1513.0</v>
      </c>
      <c r="D1280" s="10">
        <v>29.0</v>
      </c>
      <c r="E1280" s="10">
        <v>225.0</v>
      </c>
      <c r="F1280" s="10">
        <v>2024.0</v>
      </c>
      <c r="G1280" s="10"/>
    </row>
    <row r="1281">
      <c r="A1281" s="7">
        <v>45490.0</v>
      </c>
      <c r="B1281" s="8" t="s">
        <v>37</v>
      </c>
      <c r="C1281" s="11">
        <v>1820.0</v>
      </c>
      <c r="D1281" s="10">
        <v>29.0</v>
      </c>
      <c r="E1281" s="10">
        <v>225.0</v>
      </c>
      <c r="F1281" s="10">
        <v>2024.0</v>
      </c>
      <c r="G1281" s="10"/>
    </row>
    <row r="1282">
      <c r="A1282" s="7">
        <v>45490.0</v>
      </c>
      <c r="B1282" s="8" t="s">
        <v>49</v>
      </c>
      <c r="C1282" s="9">
        <v>226.0</v>
      </c>
      <c r="D1282" s="10">
        <v>29.0</v>
      </c>
      <c r="E1282" s="10">
        <v>225.0</v>
      </c>
      <c r="F1282" s="10">
        <v>2024.0</v>
      </c>
      <c r="G1282" s="10"/>
    </row>
    <row r="1283">
      <c r="A1283" s="7">
        <v>45490.0</v>
      </c>
      <c r="B1283" s="8" t="s">
        <v>34</v>
      </c>
      <c r="C1283" s="11">
        <v>2476.0</v>
      </c>
      <c r="D1283" s="10">
        <v>29.0</v>
      </c>
      <c r="E1283" s="10">
        <v>225.0</v>
      </c>
      <c r="F1283" s="10">
        <v>2024.0</v>
      </c>
      <c r="G1283" s="10"/>
    </row>
    <row r="1284">
      <c r="A1284" s="7">
        <v>45490.0</v>
      </c>
      <c r="B1284" s="8" t="s">
        <v>44</v>
      </c>
      <c r="C1284" s="11">
        <v>1425.0</v>
      </c>
      <c r="D1284" s="10">
        <v>29.0</v>
      </c>
      <c r="E1284" s="10">
        <v>225.0</v>
      </c>
      <c r="F1284" s="10">
        <v>2024.0</v>
      </c>
      <c r="G1284" s="10"/>
    </row>
    <row r="1285">
      <c r="A1285" s="7">
        <v>45490.0</v>
      </c>
      <c r="B1285" s="8" t="s">
        <v>40</v>
      </c>
      <c r="C1285" s="9">
        <v>632.0</v>
      </c>
      <c r="D1285" s="10">
        <v>29.0</v>
      </c>
      <c r="E1285" s="10">
        <v>225.0</v>
      </c>
      <c r="F1285" s="10">
        <v>2024.0</v>
      </c>
      <c r="G1285" s="10"/>
    </row>
    <row r="1286">
      <c r="A1286" s="7">
        <v>45497.0</v>
      </c>
      <c r="B1286" s="8" t="s">
        <v>35</v>
      </c>
      <c r="C1286" s="9">
        <v>871.0</v>
      </c>
      <c r="D1286" s="10">
        <v>30.0</v>
      </c>
      <c r="E1286" s="10">
        <v>226.0</v>
      </c>
      <c r="F1286" s="10">
        <v>2024.0</v>
      </c>
      <c r="G1286" s="10"/>
    </row>
    <row r="1287">
      <c r="A1287" s="7">
        <v>45497.0</v>
      </c>
      <c r="B1287" s="8" t="s">
        <v>41</v>
      </c>
      <c r="C1287" s="9">
        <v>54.0</v>
      </c>
      <c r="D1287" s="10">
        <v>30.0</v>
      </c>
      <c r="E1287" s="10">
        <v>226.0</v>
      </c>
      <c r="F1287" s="10">
        <v>2024.0</v>
      </c>
      <c r="G1287" s="10"/>
    </row>
    <row r="1288">
      <c r="A1288" s="7">
        <v>45497.0</v>
      </c>
      <c r="B1288" s="8" t="s">
        <v>36</v>
      </c>
      <c r="C1288" s="11">
        <v>1989.0</v>
      </c>
      <c r="D1288" s="10">
        <v>30.0</v>
      </c>
      <c r="E1288" s="10">
        <v>226.0</v>
      </c>
      <c r="F1288" s="10">
        <v>2024.0</v>
      </c>
      <c r="G1288" s="10"/>
    </row>
    <row r="1289">
      <c r="A1289" s="7">
        <v>45497.0</v>
      </c>
      <c r="B1289" s="8" t="s">
        <v>37</v>
      </c>
      <c r="C1289" s="11">
        <v>1962.0</v>
      </c>
      <c r="D1289" s="10">
        <v>30.0</v>
      </c>
      <c r="E1289" s="10">
        <v>226.0</v>
      </c>
      <c r="F1289" s="10">
        <v>2024.0</v>
      </c>
      <c r="G1289" s="10"/>
    </row>
    <row r="1290">
      <c r="A1290" s="7">
        <v>45497.0</v>
      </c>
      <c r="B1290" s="8" t="s">
        <v>49</v>
      </c>
      <c r="C1290" s="9">
        <v>191.0</v>
      </c>
      <c r="D1290" s="10">
        <v>30.0</v>
      </c>
      <c r="E1290" s="10">
        <v>226.0</v>
      </c>
      <c r="F1290" s="10">
        <v>2024.0</v>
      </c>
      <c r="G1290" s="10"/>
    </row>
    <row r="1291">
      <c r="A1291" s="7">
        <v>45497.0</v>
      </c>
      <c r="B1291" s="8" t="s">
        <v>34</v>
      </c>
      <c r="C1291" s="11">
        <v>2700.0</v>
      </c>
      <c r="D1291" s="10">
        <v>30.0</v>
      </c>
      <c r="E1291" s="10">
        <v>226.0</v>
      </c>
      <c r="F1291" s="10">
        <v>2024.0</v>
      </c>
      <c r="G1291" s="10"/>
    </row>
    <row r="1292">
      <c r="A1292" s="7">
        <v>45497.0</v>
      </c>
      <c r="B1292" s="8" t="s">
        <v>44</v>
      </c>
      <c r="C1292" s="9">
        <v>932.0</v>
      </c>
      <c r="D1292" s="10">
        <v>30.0</v>
      </c>
      <c r="E1292" s="10">
        <v>226.0</v>
      </c>
      <c r="F1292" s="10">
        <v>2024.0</v>
      </c>
      <c r="G1292" s="10"/>
    </row>
    <row r="1293">
      <c r="A1293" s="7">
        <v>45497.0</v>
      </c>
      <c r="B1293" s="8" t="s">
        <v>40</v>
      </c>
      <c r="C1293" s="9">
        <v>889.0</v>
      </c>
      <c r="D1293" s="10">
        <v>30.0</v>
      </c>
      <c r="E1293" s="10">
        <v>226.0</v>
      </c>
      <c r="F1293" s="10">
        <v>2024.0</v>
      </c>
      <c r="G1293" s="10"/>
    </row>
    <row r="1294">
      <c r="A1294" s="7">
        <v>45504.0</v>
      </c>
      <c r="B1294" s="8" t="s">
        <v>35</v>
      </c>
      <c r="C1294" s="11">
        <v>2154.0</v>
      </c>
      <c r="D1294" s="10">
        <v>31.0</v>
      </c>
      <c r="E1294" s="10">
        <v>227.0</v>
      </c>
      <c r="F1294" s="10">
        <v>2024.0</v>
      </c>
      <c r="G1294" s="10"/>
    </row>
    <row r="1295">
      <c r="A1295" s="7">
        <v>45504.0</v>
      </c>
      <c r="B1295" s="8" t="s">
        <v>41</v>
      </c>
      <c r="C1295" s="9">
        <v>162.0</v>
      </c>
      <c r="D1295" s="10">
        <v>31.0</v>
      </c>
      <c r="E1295" s="10">
        <v>227.0</v>
      </c>
      <c r="F1295" s="10">
        <v>2024.0</v>
      </c>
      <c r="G1295" s="10"/>
    </row>
    <row r="1296">
      <c r="A1296" s="7">
        <v>45504.0</v>
      </c>
      <c r="B1296" s="8" t="s">
        <v>36</v>
      </c>
      <c r="C1296" s="11">
        <v>1460.0</v>
      </c>
      <c r="D1296" s="10">
        <v>31.0</v>
      </c>
      <c r="E1296" s="10">
        <v>227.0</v>
      </c>
      <c r="F1296" s="10">
        <v>2024.0</v>
      </c>
      <c r="G1296" s="10"/>
    </row>
    <row r="1297">
      <c r="A1297" s="7">
        <v>45504.0</v>
      </c>
      <c r="B1297" s="8" t="s">
        <v>37</v>
      </c>
      <c r="C1297" s="11">
        <v>1499.0</v>
      </c>
      <c r="D1297" s="10">
        <v>31.0</v>
      </c>
      <c r="E1297" s="10">
        <v>227.0</v>
      </c>
      <c r="F1297" s="10">
        <v>2024.0</v>
      </c>
      <c r="G1297" s="10"/>
    </row>
    <row r="1298">
      <c r="A1298" s="7">
        <v>45504.0</v>
      </c>
      <c r="B1298" s="8" t="s">
        <v>49</v>
      </c>
      <c r="C1298" s="9">
        <v>132.0</v>
      </c>
      <c r="D1298" s="10">
        <v>31.0</v>
      </c>
      <c r="E1298" s="10">
        <v>227.0</v>
      </c>
      <c r="F1298" s="10">
        <v>2024.0</v>
      </c>
      <c r="G1298" s="10"/>
    </row>
    <row r="1299">
      <c r="A1299" s="7">
        <v>45504.0</v>
      </c>
      <c r="B1299" s="8" t="s">
        <v>34</v>
      </c>
      <c r="C1299" s="11">
        <v>2013.0</v>
      </c>
      <c r="D1299" s="10">
        <v>31.0</v>
      </c>
      <c r="E1299" s="10">
        <v>227.0</v>
      </c>
      <c r="F1299" s="10">
        <v>2024.0</v>
      </c>
      <c r="G1299" s="10"/>
    </row>
    <row r="1300">
      <c r="A1300" s="7">
        <v>45504.0</v>
      </c>
      <c r="B1300" s="8" t="s">
        <v>44</v>
      </c>
      <c r="C1300" s="11">
        <v>1607.0</v>
      </c>
      <c r="D1300" s="10">
        <v>31.0</v>
      </c>
      <c r="E1300" s="10">
        <v>227.0</v>
      </c>
      <c r="F1300" s="10">
        <v>2024.0</v>
      </c>
      <c r="G1300" s="10"/>
    </row>
    <row r="1301">
      <c r="A1301" s="7">
        <v>45504.0</v>
      </c>
      <c r="B1301" s="8" t="s">
        <v>40</v>
      </c>
      <c r="C1301" s="9">
        <v>890.0</v>
      </c>
      <c r="D1301" s="10">
        <v>31.0</v>
      </c>
      <c r="E1301" s="10">
        <v>227.0</v>
      </c>
      <c r="F1301" s="10">
        <v>2024.0</v>
      </c>
      <c r="G1301" s="10"/>
    </row>
    <row r="1302">
      <c r="A1302" s="7">
        <v>45511.0</v>
      </c>
      <c r="B1302" s="8" t="s">
        <v>35</v>
      </c>
      <c r="C1302" s="11">
        <v>1704.0</v>
      </c>
      <c r="D1302" s="10">
        <v>32.0</v>
      </c>
      <c r="E1302" s="10">
        <v>228.0</v>
      </c>
      <c r="F1302" s="10">
        <v>2024.0</v>
      </c>
      <c r="G1302" s="10"/>
    </row>
    <row r="1303">
      <c r="A1303" s="7">
        <v>45511.0</v>
      </c>
      <c r="B1303" s="8" t="s">
        <v>41</v>
      </c>
      <c r="C1303" s="9">
        <v>54.0</v>
      </c>
      <c r="D1303" s="10">
        <v>32.0</v>
      </c>
      <c r="E1303" s="10">
        <v>228.0</v>
      </c>
      <c r="F1303" s="10">
        <v>2024.0</v>
      </c>
      <c r="G1303" s="10"/>
    </row>
    <row r="1304">
      <c r="A1304" s="7">
        <v>45511.0</v>
      </c>
      <c r="B1304" s="8" t="s">
        <v>36</v>
      </c>
      <c r="C1304" s="11">
        <v>1012.0</v>
      </c>
      <c r="D1304" s="10">
        <v>32.0</v>
      </c>
      <c r="E1304" s="10">
        <v>228.0</v>
      </c>
      <c r="F1304" s="10">
        <v>2024.0</v>
      </c>
      <c r="G1304" s="10"/>
    </row>
    <row r="1305">
      <c r="A1305" s="7">
        <v>45511.0</v>
      </c>
      <c r="B1305" s="8" t="s">
        <v>37</v>
      </c>
      <c r="C1305" s="11">
        <v>1455.0</v>
      </c>
      <c r="D1305" s="10">
        <v>32.0</v>
      </c>
      <c r="E1305" s="10">
        <v>228.0</v>
      </c>
      <c r="F1305" s="10">
        <v>2024.0</v>
      </c>
      <c r="G1305" s="10"/>
    </row>
    <row r="1306">
      <c r="A1306" s="7">
        <v>45511.0</v>
      </c>
      <c r="B1306" s="8" t="s">
        <v>49</v>
      </c>
      <c r="C1306" s="9">
        <v>226.0</v>
      </c>
      <c r="D1306" s="10">
        <v>32.0</v>
      </c>
      <c r="E1306" s="10">
        <v>228.0</v>
      </c>
      <c r="F1306" s="10">
        <v>2024.0</v>
      </c>
      <c r="G1306" s="10"/>
    </row>
    <row r="1307">
      <c r="A1307" s="7">
        <v>45511.0</v>
      </c>
      <c r="B1307" s="8" t="s">
        <v>34</v>
      </c>
      <c r="C1307" s="11">
        <v>5000.0</v>
      </c>
      <c r="D1307" s="10">
        <v>32.0</v>
      </c>
      <c r="E1307" s="10">
        <v>228.0</v>
      </c>
      <c r="F1307" s="10">
        <v>2024.0</v>
      </c>
      <c r="G1307" s="10"/>
    </row>
    <row r="1308">
      <c r="A1308" s="7">
        <v>45511.0</v>
      </c>
      <c r="B1308" s="8" t="s">
        <v>44</v>
      </c>
      <c r="C1308" s="9">
        <v>428.0</v>
      </c>
      <c r="D1308" s="10">
        <v>32.0</v>
      </c>
      <c r="E1308" s="10">
        <v>228.0</v>
      </c>
      <c r="F1308" s="10">
        <v>2024.0</v>
      </c>
      <c r="G1308" s="10"/>
    </row>
    <row r="1309">
      <c r="A1309" s="7">
        <v>45511.0</v>
      </c>
      <c r="B1309" s="8" t="s">
        <v>40</v>
      </c>
      <c r="C1309" s="11">
        <v>1074.0</v>
      </c>
      <c r="D1309" s="10">
        <v>32.0</v>
      </c>
      <c r="E1309" s="10">
        <v>228.0</v>
      </c>
      <c r="F1309" s="10">
        <v>2024.0</v>
      </c>
      <c r="G1309" s="10"/>
    </row>
    <row r="1310">
      <c r="A1310" s="7">
        <v>45518.0</v>
      </c>
      <c r="B1310" s="8" t="s">
        <v>35</v>
      </c>
      <c r="C1310" s="11">
        <v>1074.0</v>
      </c>
      <c r="D1310" s="10">
        <v>33.0</v>
      </c>
      <c r="E1310" s="10">
        <v>229.0</v>
      </c>
      <c r="F1310" s="10">
        <v>2024.0</v>
      </c>
      <c r="G1310" s="10"/>
    </row>
    <row r="1311">
      <c r="A1311" s="7">
        <v>45518.0</v>
      </c>
      <c r="B1311" s="8" t="s">
        <v>41</v>
      </c>
      <c r="C1311" s="9">
        <v>54.0</v>
      </c>
      <c r="D1311" s="10">
        <v>33.0</v>
      </c>
      <c r="E1311" s="10">
        <v>229.0</v>
      </c>
      <c r="F1311" s="10">
        <v>2024.0</v>
      </c>
      <c r="G1311" s="10"/>
    </row>
    <row r="1312">
      <c r="A1312" s="7">
        <v>45518.0</v>
      </c>
      <c r="B1312" s="8" t="s">
        <v>36</v>
      </c>
      <c r="C1312" s="11">
        <v>2154.0</v>
      </c>
      <c r="D1312" s="10">
        <v>33.0</v>
      </c>
      <c r="E1312" s="10">
        <v>229.0</v>
      </c>
      <c r="F1312" s="10">
        <v>2024.0</v>
      </c>
      <c r="G1312" s="10"/>
    </row>
    <row r="1313">
      <c r="A1313" s="7">
        <v>45518.0</v>
      </c>
      <c r="B1313" s="8" t="s">
        <v>37</v>
      </c>
      <c r="C1313" s="11">
        <v>1347.0</v>
      </c>
      <c r="D1313" s="10">
        <v>33.0</v>
      </c>
      <c r="E1313" s="10">
        <v>229.0</v>
      </c>
      <c r="F1313" s="10">
        <v>2024.0</v>
      </c>
      <c r="G1313" s="10"/>
    </row>
    <row r="1314">
      <c r="A1314" s="7">
        <v>45518.0</v>
      </c>
      <c r="B1314" s="8" t="s">
        <v>49</v>
      </c>
      <c r="C1314" s="9">
        <v>150.0</v>
      </c>
      <c r="D1314" s="10">
        <v>33.0</v>
      </c>
      <c r="E1314" s="10">
        <v>229.0</v>
      </c>
      <c r="F1314" s="10">
        <v>2024.0</v>
      </c>
      <c r="G1314" s="10"/>
    </row>
    <row r="1315">
      <c r="A1315" s="7">
        <v>45518.0</v>
      </c>
      <c r="B1315" s="8" t="s">
        <v>34</v>
      </c>
      <c r="C1315" s="9">
        <v>450.0</v>
      </c>
      <c r="D1315" s="10">
        <v>33.0</v>
      </c>
      <c r="E1315" s="10">
        <v>229.0</v>
      </c>
      <c r="F1315" s="10">
        <v>2024.0</v>
      </c>
      <c r="G1315" s="10"/>
    </row>
    <row r="1316">
      <c r="A1316" s="7">
        <v>45518.0</v>
      </c>
      <c r="B1316" s="8" t="s">
        <v>44</v>
      </c>
      <c r="C1316" s="9">
        <v>547.0</v>
      </c>
      <c r="D1316" s="10">
        <v>33.0</v>
      </c>
      <c r="E1316" s="10">
        <v>229.0</v>
      </c>
      <c r="F1316" s="10">
        <v>2024.0</v>
      </c>
      <c r="G1316" s="10"/>
    </row>
    <row r="1317">
      <c r="A1317" s="7">
        <v>45518.0</v>
      </c>
      <c r="B1317" s="8" t="s">
        <v>40</v>
      </c>
      <c r="C1317" s="9">
        <v>356.0</v>
      </c>
      <c r="D1317" s="10">
        <v>33.0</v>
      </c>
      <c r="E1317" s="10">
        <v>229.0</v>
      </c>
      <c r="F1317" s="10">
        <v>2024.0</v>
      </c>
      <c r="G1317" s="10"/>
    </row>
    <row r="1318">
      <c r="A1318" s="7">
        <v>45525.0</v>
      </c>
      <c r="B1318" s="8" t="s">
        <v>35</v>
      </c>
      <c r="C1318" s="11">
        <v>1018.0</v>
      </c>
      <c r="D1318" s="10">
        <v>34.0</v>
      </c>
      <c r="E1318" s="10">
        <v>230.0</v>
      </c>
      <c r="F1318" s="10">
        <v>2024.0</v>
      </c>
      <c r="G1318" s="10"/>
    </row>
    <row r="1319">
      <c r="A1319" s="7">
        <v>45525.0</v>
      </c>
      <c r="B1319" s="8" t="s">
        <v>36</v>
      </c>
      <c r="C1319" s="11">
        <v>1698.0</v>
      </c>
      <c r="D1319" s="10">
        <v>34.0</v>
      </c>
      <c r="E1319" s="10">
        <v>230.0</v>
      </c>
      <c r="F1319" s="10">
        <v>2024.0</v>
      </c>
      <c r="G1319" s="10"/>
    </row>
    <row r="1320">
      <c r="A1320" s="7">
        <v>45525.0</v>
      </c>
      <c r="B1320" s="8" t="s">
        <v>37</v>
      </c>
      <c r="C1320" s="11">
        <v>1327.0</v>
      </c>
      <c r="D1320" s="10">
        <v>34.0</v>
      </c>
      <c r="E1320" s="10">
        <v>230.0</v>
      </c>
      <c r="F1320" s="10">
        <v>2024.0</v>
      </c>
      <c r="G1320" s="10"/>
    </row>
    <row r="1321">
      <c r="A1321" s="7">
        <v>45525.0</v>
      </c>
      <c r="B1321" s="8" t="s">
        <v>49</v>
      </c>
      <c r="C1321" s="9">
        <v>175.0</v>
      </c>
      <c r="D1321" s="10">
        <v>34.0</v>
      </c>
      <c r="E1321" s="10">
        <v>230.0</v>
      </c>
      <c r="F1321" s="10">
        <v>2024.0</v>
      </c>
      <c r="G1321" s="10"/>
    </row>
    <row r="1322">
      <c r="A1322" s="7">
        <v>45525.0</v>
      </c>
      <c r="B1322" s="8" t="s">
        <v>34</v>
      </c>
      <c r="C1322" s="11">
        <v>2326.0</v>
      </c>
      <c r="D1322" s="10">
        <v>34.0</v>
      </c>
      <c r="E1322" s="10">
        <v>230.0</v>
      </c>
      <c r="F1322" s="10">
        <v>2024.0</v>
      </c>
      <c r="G1322" s="10"/>
    </row>
    <row r="1323">
      <c r="A1323" s="7">
        <v>45525.0</v>
      </c>
      <c r="B1323" s="8" t="s">
        <v>44</v>
      </c>
      <c r="C1323" s="9">
        <v>722.0</v>
      </c>
      <c r="D1323" s="10">
        <v>34.0</v>
      </c>
      <c r="E1323" s="10">
        <v>230.0</v>
      </c>
      <c r="F1323" s="10">
        <v>2024.0</v>
      </c>
      <c r="G1323" s="10"/>
    </row>
    <row r="1324">
      <c r="A1324" s="7">
        <v>45525.0</v>
      </c>
      <c r="B1324" s="8" t="s">
        <v>40</v>
      </c>
      <c r="C1324" s="9">
        <v>445.0</v>
      </c>
      <c r="D1324" s="10">
        <v>34.0</v>
      </c>
      <c r="E1324" s="10">
        <v>230.0</v>
      </c>
      <c r="F1324" s="10">
        <v>2024.0</v>
      </c>
      <c r="G1324" s="10"/>
    </row>
    <row r="1325">
      <c r="A1325" s="7">
        <v>45532.0</v>
      </c>
      <c r="B1325" s="8" t="s">
        <v>35</v>
      </c>
      <c r="C1325" s="11">
        <v>1766.0</v>
      </c>
      <c r="D1325" s="10">
        <v>35.0</v>
      </c>
      <c r="E1325" s="10">
        <v>231.0</v>
      </c>
      <c r="F1325" s="10">
        <v>2024.0</v>
      </c>
      <c r="G1325" s="10"/>
    </row>
    <row r="1326">
      <c r="A1326" s="7">
        <v>45532.0</v>
      </c>
      <c r="B1326" s="8" t="s">
        <v>41</v>
      </c>
      <c r="C1326" s="9">
        <v>54.0</v>
      </c>
      <c r="D1326" s="10">
        <v>35.0</v>
      </c>
      <c r="E1326" s="10">
        <v>231.0</v>
      </c>
      <c r="F1326" s="10">
        <v>2024.0</v>
      </c>
      <c r="G1326" s="10"/>
    </row>
    <row r="1327">
      <c r="A1327" s="7">
        <v>45532.0</v>
      </c>
      <c r="B1327" s="8" t="s">
        <v>36</v>
      </c>
      <c r="C1327" s="11">
        <v>1322.0</v>
      </c>
      <c r="D1327" s="10">
        <v>35.0</v>
      </c>
      <c r="E1327" s="10">
        <v>231.0</v>
      </c>
      <c r="F1327" s="10">
        <v>2024.0</v>
      </c>
      <c r="G1327" s="10"/>
    </row>
    <row r="1328">
      <c r="A1328" s="7">
        <v>45532.0</v>
      </c>
      <c r="B1328" s="8" t="s">
        <v>37</v>
      </c>
      <c r="C1328" s="11">
        <v>1290.0</v>
      </c>
      <c r="D1328" s="10">
        <v>35.0</v>
      </c>
      <c r="E1328" s="10">
        <v>231.0</v>
      </c>
      <c r="F1328" s="10">
        <v>2024.0</v>
      </c>
      <c r="G1328" s="10"/>
    </row>
    <row r="1329">
      <c r="A1329" s="7">
        <v>45532.0</v>
      </c>
      <c r="B1329" s="8" t="s">
        <v>49</v>
      </c>
      <c r="C1329" s="9">
        <v>250.0</v>
      </c>
      <c r="D1329" s="10">
        <v>35.0</v>
      </c>
      <c r="E1329" s="10">
        <v>231.0</v>
      </c>
      <c r="F1329" s="10">
        <v>2024.0</v>
      </c>
      <c r="G1329" s="10"/>
    </row>
    <row r="1330">
      <c r="A1330" s="7">
        <v>45532.0</v>
      </c>
      <c r="B1330" s="8" t="s">
        <v>34</v>
      </c>
      <c r="C1330" s="9">
        <v>200.0</v>
      </c>
      <c r="D1330" s="10">
        <v>35.0</v>
      </c>
      <c r="E1330" s="10">
        <v>231.0</v>
      </c>
      <c r="F1330" s="10">
        <v>2024.0</v>
      </c>
      <c r="G1330" s="10"/>
    </row>
    <row r="1331">
      <c r="A1331" s="7">
        <v>45532.0</v>
      </c>
      <c r="B1331" s="8" t="s">
        <v>44</v>
      </c>
      <c r="C1331" s="9">
        <v>846.0</v>
      </c>
      <c r="D1331" s="10">
        <v>35.0</v>
      </c>
      <c r="E1331" s="10">
        <v>231.0</v>
      </c>
      <c r="F1331" s="10">
        <v>2024.0</v>
      </c>
      <c r="G1331" s="10"/>
    </row>
    <row r="1332">
      <c r="A1332" s="7">
        <v>45532.0</v>
      </c>
      <c r="B1332" s="8" t="s">
        <v>40</v>
      </c>
      <c r="C1332" s="9">
        <v>545.0</v>
      </c>
      <c r="D1332" s="10">
        <v>35.0</v>
      </c>
      <c r="E1332" s="10">
        <v>231.0</v>
      </c>
      <c r="F1332" s="10">
        <v>2024.0</v>
      </c>
      <c r="G1332" s="10"/>
    </row>
    <row r="1333">
      <c r="A1333" s="7">
        <v>45539.0</v>
      </c>
      <c r="B1333" s="8" t="s">
        <v>35</v>
      </c>
      <c r="C1333" s="11">
        <v>1210.0</v>
      </c>
      <c r="D1333" s="10">
        <v>36.0</v>
      </c>
      <c r="E1333" s="10">
        <v>232.0</v>
      </c>
      <c r="F1333" s="10">
        <v>2024.0</v>
      </c>
      <c r="G1333" s="10"/>
    </row>
    <row r="1334">
      <c r="A1334" s="7">
        <v>45539.0</v>
      </c>
      <c r="B1334" s="8" t="s">
        <v>41</v>
      </c>
      <c r="C1334" s="9">
        <v>54.0</v>
      </c>
      <c r="D1334" s="10">
        <v>36.0</v>
      </c>
      <c r="E1334" s="10">
        <v>232.0</v>
      </c>
      <c r="F1334" s="10">
        <v>2024.0</v>
      </c>
      <c r="G1334" s="10"/>
    </row>
    <row r="1335">
      <c r="A1335" s="7">
        <v>45539.0</v>
      </c>
      <c r="B1335" s="8" t="s">
        <v>36</v>
      </c>
      <c r="C1335" s="11">
        <v>1184.0</v>
      </c>
      <c r="D1335" s="10">
        <v>36.0</v>
      </c>
      <c r="E1335" s="10">
        <v>232.0</v>
      </c>
      <c r="F1335" s="10">
        <v>2024.0</v>
      </c>
      <c r="G1335" s="10"/>
    </row>
    <row r="1336">
      <c r="A1336" s="7">
        <v>45539.0</v>
      </c>
      <c r="B1336" s="8" t="s">
        <v>37</v>
      </c>
      <c r="C1336" s="11">
        <v>1148.0</v>
      </c>
      <c r="D1336" s="10">
        <v>36.0</v>
      </c>
      <c r="E1336" s="10">
        <v>232.0</v>
      </c>
      <c r="F1336" s="10">
        <v>2024.0</v>
      </c>
      <c r="G1336" s="10"/>
    </row>
    <row r="1337">
      <c r="A1337" s="7">
        <v>45539.0</v>
      </c>
      <c r="B1337" s="8" t="s">
        <v>49</v>
      </c>
      <c r="C1337" s="9">
        <v>214.0</v>
      </c>
      <c r="D1337" s="10">
        <v>36.0</v>
      </c>
      <c r="E1337" s="10">
        <v>232.0</v>
      </c>
      <c r="F1337" s="10">
        <v>2024.0</v>
      </c>
      <c r="G1337" s="10"/>
    </row>
    <row r="1338">
      <c r="A1338" s="7">
        <v>45539.0</v>
      </c>
      <c r="B1338" s="8" t="s">
        <v>34</v>
      </c>
      <c r="C1338" s="11">
        <v>1400.0</v>
      </c>
      <c r="D1338" s="10">
        <v>36.0</v>
      </c>
      <c r="E1338" s="10">
        <v>232.0</v>
      </c>
      <c r="F1338" s="10">
        <v>2024.0</v>
      </c>
      <c r="G1338" s="10"/>
    </row>
    <row r="1339">
      <c r="A1339" s="7">
        <v>45539.0</v>
      </c>
      <c r="B1339" s="8" t="s">
        <v>44</v>
      </c>
      <c r="C1339" s="9">
        <v>567.0</v>
      </c>
      <c r="D1339" s="10">
        <v>36.0</v>
      </c>
      <c r="E1339" s="10">
        <v>232.0</v>
      </c>
      <c r="F1339" s="10">
        <v>2024.0</v>
      </c>
      <c r="G1339" s="10"/>
    </row>
    <row r="1340">
      <c r="A1340" s="7">
        <v>45539.0</v>
      </c>
      <c r="B1340" s="8" t="s">
        <v>40</v>
      </c>
      <c r="C1340" s="9">
        <v>434.0</v>
      </c>
      <c r="D1340" s="10">
        <v>36.0</v>
      </c>
      <c r="E1340" s="10">
        <v>232.0</v>
      </c>
      <c r="F1340" s="10">
        <v>2024.0</v>
      </c>
      <c r="G1340" s="10"/>
    </row>
    <row r="1341">
      <c r="A1341" s="7">
        <v>45546.0</v>
      </c>
      <c r="B1341" s="8" t="s">
        <v>35</v>
      </c>
      <c r="C1341" s="9">
        <v>875.0</v>
      </c>
      <c r="D1341" s="10">
        <v>37.0</v>
      </c>
      <c r="E1341" s="10">
        <v>233.0</v>
      </c>
      <c r="F1341" s="10">
        <v>2024.0</v>
      </c>
      <c r="G1341" s="10"/>
    </row>
    <row r="1342">
      <c r="A1342" s="7">
        <v>45546.0</v>
      </c>
      <c r="B1342" s="8" t="s">
        <v>41</v>
      </c>
      <c r="C1342" s="9">
        <v>54.0</v>
      </c>
      <c r="D1342" s="10">
        <v>37.0</v>
      </c>
      <c r="E1342" s="10">
        <v>233.0</v>
      </c>
      <c r="F1342" s="10">
        <v>2024.0</v>
      </c>
      <c r="G1342" s="10"/>
    </row>
    <row r="1343">
      <c r="A1343" s="7">
        <v>45546.0</v>
      </c>
      <c r="B1343" s="8" t="s">
        <v>36</v>
      </c>
      <c r="C1343" s="11">
        <v>1143.0</v>
      </c>
      <c r="D1343" s="10">
        <v>37.0</v>
      </c>
      <c r="E1343" s="10">
        <v>233.0</v>
      </c>
      <c r="F1343" s="10">
        <v>2024.0</v>
      </c>
      <c r="G1343" s="10"/>
    </row>
    <row r="1344">
      <c r="A1344" s="7">
        <v>45546.0</v>
      </c>
      <c r="B1344" s="8" t="s">
        <v>37</v>
      </c>
      <c r="C1344" s="11">
        <v>1133.0</v>
      </c>
      <c r="D1344" s="10">
        <v>37.0</v>
      </c>
      <c r="E1344" s="10">
        <v>233.0</v>
      </c>
      <c r="F1344" s="10">
        <v>2024.0</v>
      </c>
      <c r="G1344" s="10"/>
    </row>
    <row r="1345">
      <c r="A1345" s="7">
        <v>45546.0</v>
      </c>
      <c r="B1345" s="8" t="s">
        <v>49</v>
      </c>
      <c r="C1345" s="9">
        <v>223.0</v>
      </c>
      <c r="D1345" s="10">
        <v>37.0</v>
      </c>
      <c r="E1345" s="10">
        <v>233.0</v>
      </c>
      <c r="F1345" s="10">
        <v>2024.0</v>
      </c>
      <c r="G1345" s="10"/>
    </row>
    <row r="1346">
      <c r="A1346" s="7">
        <v>45546.0</v>
      </c>
      <c r="B1346" s="8" t="s">
        <v>34</v>
      </c>
      <c r="C1346" s="11">
        <v>3400.0</v>
      </c>
      <c r="D1346" s="10">
        <v>37.0</v>
      </c>
      <c r="E1346" s="10">
        <v>233.0</v>
      </c>
      <c r="F1346" s="10">
        <v>2024.0</v>
      </c>
      <c r="G1346" s="10"/>
    </row>
    <row r="1347">
      <c r="A1347" s="7">
        <v>45546.0</v>
      </c>
      <c r="B1347" s="8" t="s">
        <v>44</v>
      </c>
      <c r="C1347" s="11">
        <v>1059.0</v>
      </c>
      <c r="D1347" s="10">
        <v>37.0</v>
      </c>
      <c r="E1347" s="10">
        <v>233.0</v>
      </c>
      <c r="F1347" s="10">
        <v>2024.0</v>
      </c>
      <c r="G1347" s="10"/>
    </row>
    <row r="1348">
      <c r="A1348" s="7">
        <v>45546.0</v>
      </c>
      <c r="B1348" s="8" t="s">
        <v>40</v>
      </c>
      <c r="C1348" s="9">
        <v>721.0</v>
      </c>
      <c r="D1348" s="10">
        <v>37.0</v>
      </c>
      <c r="E1348" s="10">
        <v>233.0</v>
      </c>
      <c r="F1348" s="10">
        <v>2024.0</v>
      </c>
      <c r="G1348" s="10"/>
    </row>
    <row r="1349">
      <c r="A1349" s="7">
        <v>45553.0</v>
      </c>
      <c r="B1349" s="8" t="s">
        <v>35</v>
      </c>
      <c r="C1349" s="11">
        <v>1640.0</v>
      </c>
      <c r="D1349" s="10">
        <v>38.0</v>
      </c>
      <c r="E1349" s="10">
        <v>234.0</v>
      </c>
      <c r="F1349" s="10">
        <v>2024.0</v>
      </c>
      <c r="G1349" s="10"/>
    </row>
    <row r="1350">
      <c r="A1350" s="7">
        <v>45553.0</v>
      </c>
      <c r="B1350" s="8" t="s">
        <v>41</v>
      </c>
      <c r="C1350" s="9">
        <v>118.0</v>
      </c>
      <c r="D1350" s="10">
        <v>38.0</v>
      </c>
      <c r="E1350" s="10">
        <v>234.0</v>
      </c>
      <c r="F1350" s="10">
        <v>2024.0</v>
      </c>
      <c r="G1350" s="10"/>
    </row>
    <row r="1351">
      <c r="A1351" s="7">
        <v>45553.0</v>
      </c>
      <c r="B1351" s="8" t="s">
        <v>36</v>
      </c>
      <c r="C1351" s="9">
        <v>724.0</v>
      </c>
      <c r="D1351" s="10">
        <v>38.0</v>
      </c>
      <c r="E1351" s="10">
        <v>234.0</v>
      </c>
      <c r="F1351" s="10">
        <v>2024.0</v>
      </c>
      <c r="G1351" s="10"/>
    </row>
    <row r="1352">
      <c r="A1352" s="7">
        <v>45553.0</v>
      </c>
      <c r="B1352" s="8" t="s">
        <v>37</v>
      </c>
      <c r="C1352" s="11">
        <v>1323.0</v>
      </c>
      <c r="D1352" s="10">
        <v>38.0</v>
      </c>
      <c r="E1352" s="10">
        <v>234.0</v>
      </c>
      <c r="F1352" s="10">
        <v>2024.0</v>
      </c>
      <c r="G1352" s="10"/>
    </row>
    <row r="1353">
      <c r="A1353" s="7">
        <v>45553.0</v>
      </c>
      <c r="B1353" s="8" t="s">
        <v>49</v>
      </c>
      <c r="C1353" s="9">
        <v>494.0</v>
      </c>
      <c r="D1353" s="10">
        <v>38.0</v>
      </c>
      <c r="E1353" s="10">
        <v>234.0</v>
      </c>
      <c r="F1353" s="10">
        <v>2024.0</v>
      </c>
      <c r="G1353" s="10"/>
    </row>
    <row r="1354">
      <c r="A1354" s="7">
        <v>45553.0</v>
      </c>
      <c r="B1354" s="8" t="s">
        <v>34</v>
      </c>
      <c r="C1354" s="11">
        <v>3015.0</v>
      </c>
      <c r="D1354" s="10">
        <v>38.0</v>
      </c>
      <c r="E1354" s="10">
        <v>234.0</v>
      </c>
      <c r="F1354" s="10">
        <v>2024.0</v>
      </c>
      <c r="G1354" s="10"/>
    </row>
    <row r="1355">
      <c r="A1355" s="7">
        <v>45553.0</v>
      </c>
      <c r="B1355" s="8" t="s">
        <v>44</v>
      </c>
      <c r="C1355" s="9">
        <v>406.0</v>
      </c>
      <c r="D1355" s="10">
        <v>38.0</v>
      </c>
      <c r="E1355" s="10">
        <v>234.0</v>
      </c>
      <c r="F1355" s="10">
        <v>2024.0</v>
      </c>
      <c r="G1355" s="10"/>
    </row>
    <row r="1356">
      <c r="A1356" s="7">
        <v>45553.0</v>
      </c>
      <c r="B1356" s="8" t="s">
        <v>40</v>
      </c>
      <c r="C1356" s="9">
        <v>747.0</v>
      </c>
      <c r="D1356" s="10">
        <v>38.0</v>
      </c>
      <c r="E1356" s="10">
        <v>234.0</v>
      </c>
      <c r="F1356" s="10">
        <v>2024.0</v>
      </c>
      <c r="G1356" s="10"/>
    </row>
    <row r="1357">
      <c r="A1357" s="7">
        <v>45560.0</v>
      </c>
      <c r="B1357" s="8" t="s">
        <v>35</v>
      </c>
      <c r="C1357" s="11">
        <v>1946.0</v>
      </c>
      <c r="D1357" s="10">
        <v>39.0</v>
      </c>
      <c r="E1357" s="10">
        <v>235.0</v>
      </c>
      <c r="F1357" s="10">
        <v>2024.0</v>
      </c>
      <c r="G1357" s="10"/>
    </row>
    <row r="1358">
      <c r="A1358" s="7">
        <v>45560.0</v>
      </c>
      <c r="B1358" s="8" t="s">
        <v>36</v>
      </c>
      <c r="C1358" s="11">
        <v>1836.0</v>
      </c>
      <c r="D1358" s="10">
        <v>39.0</v>
      </c>
      <c r="E1358" s="10">
        <v>235.0</v>
      </c>
      <c r="F1358" s="10">
        <v>2024.0</v>
      </c>
      <c r="G1358" s="10"/>
    </row>
    <row r="1359">
      <c r="A1359" s="7">
        <v>45560.0</v>
      </c>
      <c r="B1359" s="8" t="s">
        <v>37</v>
      </c>
      <c r="C1359" s="9">
        <v>989.0</v>
      </c>
      <c r="D1359" s="10">
        <v>39.0</v>
      </c>
      <c r="E1359" s="10">
        <v>235.0</v>
      </c>
      <c r="F1359" s="10">
        <v>2024.0</v>
      </c>
      <c r="G1359" s="10"/>
    </row>
    <row r="1360">
      <c r="A1360" s="7">
        <v>45560.0</v>
      </c>
      <c r="B1360" s="8" t="s">
        <v>49</v>
      </c>
      <c r="C1360" s="9">
        <v>545.0</v>
      </c>
      <c r="D1360" s="10">
        <v>39.0</v>
      </c>
      <c r="E1360" s="10">
        <v>235.0</v>
      </c>
      <c r="F1360" s="10">
        <v>2024.0</v>
      </c>
      <c r="G1360" s="10"/>
    </row>
    <row r="1361">
      <c r="A1361" s="7">
        <v>45560.0</v>
      </c>
      <c r="B1361" s="8" t="s">
        <v>34</v>
      </c>
      <c r="C1361" s="11">
        <v>5650.0</v>
      </c>
      <c r="D1361" s="10">
        <v>39.0</v>
      </c>
      <c r="E1361" s="10">
        <v>235.0</v>
      </c>
      <c r="F1361" s="10">
        <v>2024.0</v>
      </c>
      <c r="G1361" s="10"/>
    </row>
    <row r="1362">
      <c r="A1362" s="7">
        <v>45560.0</v>
      </c>
      <c r="B1362" s="8" t="s">
        <v>44</v>
      </c>
      <c r="C1362" s="9">
        <v>791.0</v>
      </c>
      <c r="D1362" s="10">
        <v>39.0</v>
      </c>
      <c r="E1362" s="10">
        <v>235.0</v>
      </c>
      <c r="F1362" s="10">
        <v>2024.0</v>
      </c>
      <c r="G1362" s="10"/>
    </row>
    <row r="1363">
      <c r="A1363" s="7">
        <v>45560.0</v>
      </c>
      <c r="B1363" s="8" t="s">
        <v>40</v>
      </c>
      <c r="C1363" s="9">
        <v>510.0</v>
      </c>
      <c r="D1363" s="10">
        <v>39.0</v>
      </c>
      <c r="E1363" s="10">
        <v>235.0</v>
      </c>
      <c r="F1363" s="10">
        <v>2024.0</v>
      </c>
      <c r="G1363" s="10"/>
    </row>
    <row r="1364">
      <c r="A1364" s="7">
        <v>45567.0</v>
      </c>
      <c r="B1364" s="8" t="s">
        <v>34</v>
      </c>
      <c r="C1364" s="11">
        <v>14023.0</v>
      </c>
      <c r="D1364" s="10">
        <v>40.0</v>
      </c>
      <c r="E1364" s="10">
        <v>236.0</v>
      </c>
      <c r="F1364" s="10">
        <v>2024.0</v>
      </c>
      <c r="G1364" s="10"/>
    </row>
    <row r="1365">
      <c r="A1365" s="7">
        <v>45574.0</v>
      </c>
      <c r="B1365" s="8" t="s">
        <v>35</v>
      </c>
      <c r="C1365" s="11">
        <v>1493.0</v>
      </c>
      <c r="D1365" s="10">
        <v>41.0</v>
      </c>
      <c r="E1365" s="10">
        <v>237.0</v>
      </c>
      <c r="F1365" s="10">
        <v>2024.0</v>
      </c>
      <c r="G1365" s="10"/>
    </row>
    <row r="1366">
      <c r="A1366" s="7">
        <v>45574.0</v>
      </c>
      <c r="B1366" s="8" t="s">
        <v>41</v>
      </c>
      <c r="C1366" s="9">
        <v>54.0</v>
      </c>
      <c r="D1366" s="10">
        <v>41.0</v>
      </c>
      <c r="E1366" s="10">
        <v>237.0</v>
      </c>
      <c r="F1366" s="10">
        <v>2024.0</v>
      </c>
      <c r="G1366" s="10"/>
    </row>
    <row r="1367">
      <c r="A1367" s="7">
        <v>45574.0</v>
      </c>
      <c r="B1367" s="8" t="s">
        <v>36</v>
      </c>
      <c r="C1367" s="11">
        <v>1284.0</v>
      </c>
      <c r="D1367" s="10">
        <v>41.0</v>
      </c>
      <c r="E1367" s="10">
        <v>237.0</v>
      </c>
      <c r="F1367" s="10">
        <v>2024.0</v>
      </c>
      <c r="G1367" s="10"/>
    </row>
    <row r="1368">
      <c r="A1368" s="7">
        <v>45574.0</v>
      </c>
      <c r="B1368" s="8" t="s">
        <v>37</v>
      </c>
      <c r="C1368" s="9">
        <v>919.0</v>
      </c>
      <c r="D1368" s="10">
        <v>41.0</v>
      </c>
      <c r="E1368" s="10">
        <v>237.0</v>
      </c>
      <c r="F1368" s="10">
        <v>2024.0</v>
      </c>
      <c r="G1368" s="10"/>
    </row>
    <row r="1369">
      <c r="A1369" s="7">
        <v>45574.0</v>
      </c>
      <c r="B1369" s="8" t="s">
        <v>49</v>
      </c>
      <c r="C1369" s="9">
        <v>260.0</v>
      </c>
      <c r="D1369" s="10">
        <v>41.0</v>
      </c>
      <c r="E1369" s="10">
        <v>237.0</v>
      </c>
      <c r="F1369" s="10">
        <v>2024.0</v>
      </c>
      <c r="G1369" s="10"/>
    </row>
    <row r="1370">
      <c r="A1370" s="7">
        <v>45574.0</v>
      </c>
      <c r="B1370" s="8" t="s">
        <v>34</v>
      </c>
      <c r="C1370" s="11">
        <v>1900.0</v>
      </c>
      <c r="D1370" s="10">
        <v>41.0</v>
      </c>
      <c r="E1370" s="10">
        <v>237.0</v>
      </c>
      <c r="F1370" s="10">
        <v>2024.0</v>
      </c>
      <c r="G1370" s="10"/>
    </row>
    <row r="1371">
      <c r="A1371" s="7">
        <v>45574.0</v>
      </c>
      <c r="B1371" s="8" t="s">
        <v>44</v>
      </c>
      <c r="C1371" s="9">
        <v>555.0</v>
      </c>
      <c r="D1371" s="10">
        <v>41.0</v>
      </c>
      <c r="E1371" s="10">
        <v>237.0</v>
      </c>
      <c r="F1371" s="10">
        <v>2024.0</v>
      </c>
      <c r="G1371" s="10"/>
    </row>
    <row r="1372">
      <c r="A1372" s="7">
        <v>45574.0</v>
      </c>
      <c r="B1372" s="8" t="s">
        <v>40</v>
      </c>
      <c r="C1372" s="9">
        <v>344.0</v>
      </c>
      <c r="D1372" s="10">
        <v>41.0</v>
      </c>
      <c r="E1372" s="10">
        <v>237.0</v>
      </c>
      <c r="F1372" s="10">
        <v>2024.0</v>
      </c>
      <c r="G1372" s="10"/>
    </row>
    <row r="1373">
      <c r="A1373" s="7">
        <v>45581.0</v>
      </c>
      <c r="B1373" s="8" t="s">
        <v>35</v>
      </c>
      <c r="C1373" s="11">
        <v>1032.0</v>
      </c>
      <c r="D1373" s="10">
        <v>42.0</v>
      </c>
      <c r="E1373" s="10">
        <v>238.0</v>
      </c>
      <c r="F1373" s="10">
        <v>2024.0</v>
      </c>
      <c r="G1373" s="10"/>
    </row>
    <row r="1374">
      <c r="A1374" s="7">
        <v>45581.0</v>
      </c>
      <c r="B1374" s="8" t="s">
        <v>41</v>
      </c>
      <c r="C1374" s="9">
        <v>119.0</v>
      </c>
      <c r="D1374" s="10">
        <v>42.0</v>
      </c>
      <c r="E1374" s="10">
        <v>238.0</v>
      </c>
      <c r="F1374" s="10">
        <v>2024.0</v>
      </c>
      <c r="G1374" s="10"/>
    </row>
    <row r="1375">
      <c r="A1375" s="7">
        <v>45581.0</v>
      </c>
      <c r="B1375" s="8" t="s">
        <v>36</v>
      </c>
      <c r="C1375" s="11">
        <v>1377.0</v>
      </c>
      <c r="D1375" s="10">
        <v>42.0</v>
      </c>
      <c r="E1375" s="10">
        <v>238.0</v>
      </c>
      <c r="F1375" s="10">
        <v>2024.0</v>
      </c>
      <c r="G1375" s="10"/>
    </row>
    <row r="1376">
      <c r="A1376" s="7">
        <v>45581.0</v>
      </c>
      <c r="B1376" s="8" t="s">
        <v>37</v>
      </c>
      <c r="C1376" s="11">
        <v>1332.0</v>
      </c>
      <c r="D1376" s="10">
        <v>42.0</v>
      </c>
      <c r="E1376" s="10">
        <v>238.0</v>
      </c>
      <c r="F1376" s="10">
        <v>2024.0</v>
      </c>
      <c r="G1376" s="10"/>
    </row>
    <row r="1377">
      <c r="A1377" s="7">
        <v>45581.0</v>
      </c>
      <c r="B1377" s="8" t="s">
        <v>49</v>
      </c>
      <c r="C1377" s="9">
        <v>200.0</v>
      </c>
      <c r="D1377" s="10">
        <v>42.0</v>
      </c>
      <c r="E1377" s="10">
        <v>238.0</v>
      </c>
      <c r="F1377" s="10">
        <v>2024.0</v>
      </c>
      <c r="G1377" s="10"/>
    </row>
    <row r="1378">
      <c r="A1378" s="7">
        <v>45581.0</v>
      </c>
      <c r="B1378" s="8" t="s">
        <v>34</v>
      </c>
      <c r="C1378" s="11">
        <v>3746.0</v>
      </c>
      <c r="D1378" s="10">
        <v>42.0</v>
      </c>
      <c r="E1378" s="10">
        <v>238.0</v>
      </c>
      <c r="F1378" s="10">
        <v>2024.0</v>
      </c>
      <c r="G1378" s="10"/>
    </row>
    <row r="1379">
      <c r="A1379" s="7">
        <v>45581.0</v>
      </c>
      <c r="B1379" s="8" t="s">
        <v>44</v>
      </c>
      <c r="C1379" s="11">
        <v>1296.0</v>
      </c>
      <c r="D1379" s="10">
        <v>42.0</v>
      </c>
      <c r="E1379" s="10">
        <v>238.0</v>
      </c>
      <c r="F1379" s="10">
        <v>2024.0</v>
      </c>
      <c r="G1379" s="10"/>
    </row>
    <row r="1380">
      <c r="A1380" s="7">
        <v>45581.0</v>
      </c>
      <c r="B1380" s="8" t="s">
        <v>40</v>
      </c>
      <c r="C1380" s="9">
        <v>431.0</v>
      </c>
      <c r="D1380" s="10">
        <v>42.0</v>
      </c>
      <c r="E1380" s="10">
        <v>238.0</v>
      </c>
      <c r="F1380" s="10">
        <v>2024.0</v>
      </c>
      <c r="G1380" s="10"/>
    </row>
    <row r="1381">
      <c r="A1381" s="7">
        <v>45588.0</v>
      </c>
      <c r="B1381" s="8" t="s">
        <v>35</v>
      </c>
      <c r="C1381" s="9">
        <v>618.0</v>
      </c>
      <c r="D1381" s="10">
        <v>43.0</v>
      </c>
      <c r="E1381" s="10">
        <v>239.0</v>
      </c>
      <c r="F1381" s="10">
        <v>2024.0</v>
      </c>
      <c r="G1381" s="10"/>
    </row>
    <row r="1382">
      <c r="A1382" s="7">
        <v>45588.0</v>
      </c>
      <c r="B1382" s="8" t="s">
        <v>36</v>
      </c>
      <c r="C1382" s="11">
        <v>1774.0</v>
      </c>
      <c r="D1382" s="10">
        <v>43.0</v>
      </c>
      <c r="E1382" s="10">
        <v>239.0</v>
      </c>
      <c r="F1382" s="10">
        <v>2024.0</v>
      </c>
      <c r="G1382" s="10"/>
    </row>
    <row r="1383">
      <c r="A1383" s="7">
        <v>45588.0</v>
      </c>
      <c r="B1383" s="8" t="s">
        <v>37</v>
      </c>
      <c r="C1383" s="9">
        <v>594.0</v>
      </c>
      <c r="D1383" s="10">
        <v>43.0</v>
      </c>
      <c r="E1383" s="10">
        <v>239.0</v>
      </c>
      <c r="F1383" s="10">
        <v>2024.0</v>
      </c>
      <c r="G1383" s="10"/>
    </row>
    <row r="1384">
      <c r="A1384" s="7">
        <v>45588.0</v>
      </c>
      <c r="B1384" s="8" t="s">
        <v>49</v>
      </c>
      <c r="C1384" s="9">
        <v>503.0</v>
      </c>
      <c r="D1384" s="10">
        <v>43.0</v>
      </c>
      <c r="E1384" s="10">
        <v>239.0</v>
      </c>
      <c r="F1384" s="10">
        <v>2024.0</v>
      </c>
      <c r="G1384" s="10"/>
    </row>
    <row r="1385">
      <c r="A1385" s="7">
        <v>45588.0</v>
      </c>
      <c r="B1385" s="8" t="s">
        <v>34</v>
      </c>
      <c r="C1385" s="11">
        <v>4279.0</v>
      </c>
      <c r="D1385" s="10">
        <v>43.0</v>
      </c>
      <c r="E1385" s="10">
        <v>239.0</v>
      </c>
      <c r="F1385" s="10">
        <v>2024.0</v>
      </c>
      <c r="G1385" s="10"/>
    </row>
    <row r="1386">
      <c r="A1386" s="7">
        <v>45588.0</v>
      </c>
      <c r="B1386" s="8" t="s">
        <v>44</v>
      </c>
      <c r="C1386" s="9">
        <v>768.0</v>
      </c>
      <c r="D1386" s="10">
        <v>43.0</v>
      </c>
      <c r="E1386" s="10">
        <v>239.0</v>
      </c>
      <c r="F1386" s="10">
        <v>2024.0</v>
      </c>
      <c r="G1386" s="10"/>
    </row>
    <row r="1387">
      <c r="A1387" s="7">
        <v>45588.0</v>
      </c>
      <c r="B1387" s="8" t="s">
        <v>40</v>
      </c>
      <c r="C1387" s="9">
        <v>224.0</v>
      </c>
      <c r="D1387" s="10">
        <v>43.0</v>
      </c>
      <c r="E1387" s="10">
        <v>239.0</v>
      </c>
      <c r="F1387" s="10">
        <v>2024.0</v>
      </c>
      <c r="G1387" s="10"/>
    </row>
    <row r="1388">
      <c r="A1388" s="7">
        <v>45595.0</v>
      </c>
      <c r="B1388" s="8" t="s">
        <v>35</v>
      </c>
      <c r="C1388" s="11">
        <v>1427.0</v>
      </c>
      <c r="D1388" s="10">
        <v>44.0</v>
      </c>
      <c r="E1388" s="10">
        <v>240.0</v>
      </c>
      <c r="F1388" s="10">
        <v>2024.0</v>
      </c>
      <c r="G1388" s="10"/>
    </row>
    <row r="1389">
      <c r="A1389" s="7">
        <v>45595.0</v>
      </c>
      <c r="B1389" s="8" t="s">
        <v>36</v>
      </c>
      <c r="C1389" s="11">
        <v>2035.0</v>
      </c>
      <c r="D1389" s="10">
        <v>44.0</v>
      </c>
      <c r="E1389" s="10">
        <v>240.0</v>
      </c>
      <c r="F1389" s="10">
        <v>2024.0</v>
      </c>
      <c r="G1389" s="10"/>
    </row>
    <row r="1390">
      <c r="A1390" s="7">
        <v>45595.0</v>
      </c>
      <c r="B1390" s="8" t="s">
        <v>37</v>
      </c>
      <c r="C1390" s="11">
        <v>1017.0</v>
      </c>
      <c r="D1390" s="10">
        <v>44.0</v>
      </c>
      <c r="E1390" s="10">
        <v>240.0</v>
      </c>
      <c r="F1390" s="10">
        <v>2024.0</v>
      </c>
      <c r="G1390" s="10"/>
    </row>
    <row r="1391">
      <c r="A1391" s="7">
        <v>45595.0</v>
      </c>
      <c r="B1391" s="8" t="s">
        <v>49</v>
      </c>
      <c r="C1391" s="9">
        <v>332.0</v>
      </c>
      <c r="D1391" s="10">
        <v>44.0</v>
      </c>
      <c r="E1391" s="10">
        <v>240.0</v>
      </c>
      <c r="F1391" s="10">
        <v>2024.0</v>
      </c>
      <c r="G1391" s="10"/>
    </row>
    <row r="1392">
      <c r="A1392" s="7">
        <v>45595.0</v>
      </c>
      <c r="B1392" s="8" t="s">
        <v>34</v>
      </c>
      <c r="C1392" s="11">
        <v>1330.0</v>
      </c>
      <c r="D1392" s="10">
        <v>44.0</v>
      </c>
      <c r="E1392" s="10">
        <v>240.0</v>
      </c>
      <c r="F1392" s="10">
        <v>2024.0</v>
      </c>
      <c r="G1392" s="10"/>
    </row>
    <row r="1393">
      <c r="A1393" s="7">
        <v>45595.0</v>
      </c>
      <c r="B1393" s="8" t="s">
        <v>44</v>
      </c>
      <c r="C1393" s="11">
        <v>1380.0</v>
      </c>
      <c r="D1393" s="10">
        <v>44.0</v>
      </c>
      <c r="E1393" s="10">
        <v>240.0</v>
      </c>
      <c r="F1393" s="10">
        <v>2024.0</v>
      </c>
      <c r="G1393" s="10"/>
    </row>
    <row r="1394">
      <c r="A1394" s="7">
        <v>45595.0</v>
      </c>
      <c r="B1394" s="8" t="s">
        <v>40</v>
      </c>
      <c r="C1394" s="9">
        <v>452.0</v>
      </c>
      <c r="D1394" s="10">
        <v>44.0</v>
      </c>
      <c r="E1394" s="10">
        <v>240.0</v>
      </c>
      <c r="F1394" s="10">
        <v>2024.0</v>
      </c>
      <c r="G1394" s="10"/>
    </row>
    <row r="1395">
      <c r="A1395" s="7">
        <v>45602.0</v>
      </c>
      <c r="B1395" s="8" t="s">
        <v>35</v>
      </c>
      <c r="C1395" s="11">
        <v>1427.0</v>
      </c>
      <c r="D1395" s="10">
        <v>45.0</v>
      </c>
      <c r="E1395" s="10">
        <v>241.0</v>
      </c>
      <c r="F1395" s="10">
        <v>2024.0</v>
      </c>
      <c r="G1395" s="10"/>
    </row>
    <row r="1396">
      <c r="A1396" s="7">
        <v>45602.0</v>
      </c>
      <c r="B1396" s="8" t="s">
        <v>36</v>
      </c>
      <c r="C1396" s="11">
        <v>1449.0</v>
      </c>
      <c r="D1396" s="10">
        <v>45.0</v>
      </c>
      <c r="E1396" s="10">
        <v>241.0</v>
      </c>
      <c r="F1396" s="10">
        <v>2024.0</v>
      </c>
      <c r="G1396" s="10"/>
    </row>
    <row r="1397">
      <c r="A1397" s="7">
        <v>45602.0</v>
      </c>
      <c r="B1397" s="8" t="s">
        <v>37</v>
      </c>
      <c r="C1397" s="11">
        <v>1017.0</v>
      </c>
      <c r="D1397" s="10">
        <v>45.0</v>
      </c>
      <c r="E1397" s="10">
        <v>241.0</v>
      </c>
      <c r="F1397" s="10">
        <v>2024.0</v>
      </c>
      <c r="G1397" s="10"/>
    </row>
    <row r="1398">
      <c r="A1398" s="7">
        <v>45602.0</v>
      </c>
      <c r="B1398" s="8" t="s">
        <v>49</v>
      </c>
      <c r="C1398" s="9">
        <v>179.0</v>
      </c>
      <c r="D1398" s="10">
        <v>45.0</v>
      </c>
      <c r="E1398" s="10">
        <v>241.0</v>
      </c>
      <c r="F1398" s="10">
        <v>2024.0</v>
      </c>
      <c r="G1398" s="10"/>
    </row>
    <row r="1399">
      <c r="A1399" s="7">
        <v>45602.0</v>
      </c>
      <c r="B1399" s="8" t="s">
        <v>34</v>
      </c>
      <c r="C1399" s="9">
        <v>550.0</v>
      </c>
      <c r="D1399" s="10">
        <v>45.0</v>
      </c>
      <c r="E1399" s="10">
        <v>241.0</v>
      </c>
      <c r="F1399" s="10">
        <v>2024.0</v>
      </c>
      <c r="G1399" s="10"/>
    </row>
    <row r="1400">
      <c r="A1400" s="7">
        <v>45602.0</v>
      </c>
      <c r="B1400" s="8" t="s">
        <v>44</v>
      </c>
      <c r="C1400" s="11">
        <v>1380.0</v>
      </c>
      <c r="D1400" s="10">
        <v>45.0</v>
      </c>
      <c r="E1400" s="10">
        <v>241.0</v>
      </c>
      <c r="F1400" s="10">
        <v>2024.0</v>
      </c>
      <c r="G1400" s="10"/>
    </row>
    <row r="1401">
      <c r="A1401" s="7">
        <v>45602.0</v>
      </c>
      <c r="B1401" s="8" t="s">
        <v>40</v>
      </c>
      <c r="C1401" s="9">
        <v>452.0</v>
      </c>
      <c r="D1401" s="10">
        <v>45.0</v>
      </c>
      <c r="E1401" s="10">
        <v>241.0</v>
      </c>
      <c r="F1401" s="10">
        <v>2024.0</v>
      </c>
      <c r="G1401" s="10"/>
    </row>
    <row r="1402">
      <c r="A1402" s="7">
        <v>45609.0</v>
      </c>
      <c r="B1402" s="8" t="s">
        <v>35</v>
      </c>
      <c r="C1402" s="11">
        <v>1226.0</v>
      </c>
      <c r="D1402" s="10">
        <v>46.0</v>
      </c>
      <c r="E1402" s="10">
        <v>242.0</v>
      </c>
      <c r="F1402" s="10">
        <v>2024.0</v>
      </c>
      <c r="G1402" s="10"/>
    </row>
    <row r="1403">
      <c r="A1403" s="7">
        <v>45609.0</v>
      </c>
      <c r="B1403" s="8" t="s">
        <v>41</v>
      </c>
      <c r="C1403" s="9">
        <v>54.0</v>
      </c>
      <c r="D1403" s="10">
        <v>46.0</v>
      </c>
      <c r="E1403" s="10">
        <v>242.0</v>
      </c>
      <c r="F1403" s="10">
        <v>2024.0</v>
      </c>
      <c r="G1403" s="10"/>
    </row>
    <row r="1404">
      <c r="A1404" s="7">
        <v>45609.0</v>
      </c>
      <c r="B1404" s="8" t="s">
        <v>36</v>
      </c>
      <c r="C1404" s="11">
        <v>1396.0</v>
      </c>
      <c r="D1404" s="10">
        <v>46.0</v>
      </c>
      <c r="E1404" s="10">
        <v>242.0</v>
      </c>
      <c r="F1404" s="10">
        <v>2024.0</v>
      </c>
      <c r="G1404" s="10"/>
    </row>
    <row r="1405">
      <c r="A1405" s="7">
        <v>45609.0</v>
      </c>
      <c r="B1405" s="8" t="s">
        <v>37</v>
      </c>
      <c r="C1405" s="11">
        <v>1389.0</v>
      </c>
      <c r="D1405" s="10">
        <v>46.0</v>
      </c>
      <c r="E1405" s="10">
        <v>242.0</v>
      </c>
      <c r="F1405" s="10">
        <v>2024.0</v>
      </c>
      <c r="G1405" s="10"/>
    </row>
    <row r="1406">
      <c r="A1406" s="7">
        <v>45609.0</v>
      </c>
      <c r="B1406" s="8" t="s">
        <v>49</v>
      </c>
      <c r="C1406" s="9">
        <v>200.0</v>
      </c>
      <c r="D1406" s="10">
        <v>46.0</v>
      </c>
      <c r="E1406" s="10">
        <v>242.0</v>
      </c>
      <c r="F1406" s="10">
        <v>2024.0</v>
      </c>
      <c r="G1406" s="10"/>
    </row>
    <row r="1407">
      <c r="A1407" s="7">
        <v>45609.0</v>
      </c>
      <c r="B1407" s="8" t="s">
        <v>34</v>
      </c>
      <c r="C1407" s="11">
        <v>1780.0</v>
      </c>
      <c r="D1407" s="10">
        <v>46.0</v>
      </c>
      <c r="E1407" s="10">
        <v>242.0</v>
      </c>
      <c r="F1407" s="10">
        <v>2024.0</v>
      </c>
      <c r="G1407" s="10"/>
    </row>
    <row r="1408">
      <c r="A1408" s="7">
        <v>45609.0</v>
      </c>
      <c r="B1408" s="8" t="s">
        <v>44</v>
      </c>
      <c r="C1408" s="9">
        <v>437.0</v>
      </c>
      <c r="D1408" s="10">
        <v>46.0</v>
      </c>
      <c r="E1408" s="10">
        <v>242.0</v>
      </c>
      <c r="F1408" s="10">
        <v>2024.0</v>
      </c>
      <c r="G1408" s="10"/>
    </row>
    <row r="1409">
      <c r="A1409" s="7">
        <v>45609.0</v>
      </c>
      <c r="B1409" s="8" t="s">
        <v>40</v>
      </c>
      <c r="C1409" s="9">
        <v>554.0</v>
      </c>
      <c r="D1409" s="10">
        <v>46.0</v>
      </c>
      <c r="E1409" s="10">
        <v>242.0</v>
      </c>
      <c r="F1409" s="10">
        <v>2024.0</v>
      </c>
      <c r="G1409" s="10"/>
    </row>
    <row r="1410">
      <c r="A1410" s="7">
        <v>45616.0</v>
      </c>
      <c r="B1410" s="8" t="s">
        <v>35</v>
      </c>
      <c r="C1410" s="11">
        <v>3625.0</v>
      </c>
      <c r="D1410" s="10">
        <v>47.0</v>
      </c>
      <c r="E1410" s="10">
        <v>243.0</v>
      </c>
      <c r="F1410" s="10">
        <v>2024.0</v>
      </c>
      <c r="G1410" s="10"/>
    </row>
    <row r="1411">
      <c r="A1411" s="7">
        <v>45616.0</v>
      </c>
      <c r="B1411" s="8" t="s">
        <v>41</v>
      </c>
      <c r="C1411" s="9">
        <v>64.0</v>
      </c>
      <c r="D1411" s="10">
        <v>47.0</v>
      </c>
      <c r="E1411" s="10">
        <v>243.0</v>
      </c>
      <c r="F1411" s="10">
        <v>2024.0</v>
      </c>
      <c r="G1411" s="10"/>
    </row>
    <row r="1412">
      <c r="A1412" s="7">
        <v>45616.0</v>
      </c>
      <c r="B1412" s="8" t="s">
        <v>36</v>
      </c>
      <c r="C1412" s="11">
        <v>2378.0</v>
      </c>
      <c r="D1412" s="10">
        <v>47.0</v>
      </c>
      <c r="E1412" s="10">
        <v>243.0</v>
      </c>
      <c r="F1412" s="10">
        <v>2024.0</v>
      </c>
      <c r="G1412" s="10"/>
    </row>
    <row r="1413">
      <c r="A1413" s="7">
        <v>45616.0</v>
      </c>
      <c r="B1413" s="8" t="s">
        <v>37</v>
      </c>
      <c r="C1413" s="11">
        <v>1643.0</v>
      </c>
      <c r="D1413" s="10">
        <v>47.0</v>
      </c>
      <c r="E1413" s="10">
        <v>243.0</v>
      </c>
      <c r="F1413" s="10">
        <v>2024.0</v>
      </c>
      <c r="G1413" s="10"/>
    </row>
    <row r="1414">
      <c r="A1414" s="7">
        <v>45616.0</v>
      </c>
      <c r="B1414" s="8" t="s">
        <v>49</v>
      </c>
      <c r="C1414" s="9">
        <v>304.0</v>
      </c>
      <c r="D1414" s="10">
        <v>47.0</v>
      </c>
      <c r="E1414" s="10">
        <v>243.0</v>
      </c>
      <c r="F1414" s="10">
        <v>2024.0</v>
      </c>
      <c r="G1414" s="10"/>
    </row>
    <row r="1415">
      <c r="A1415" s="7">
        <v>45616.0</v>
      </c>
      <c r="B1415" s="8" t="s">
        <v>34</v>
      </c>
      <c r="C1415" s="11">
        <v>6409.0</v>
      </c>
      <c r="D1415" s="10">
        <v>47.0</v>
      </c>
      <c r="E1415" s="10">
        <v>243.0</v>
      </c>
      <c r="F1415" s="10">
        <v>2024.0</v>
      </c>
      <c r="G1415" s="10"/>
    </row>
    <row r="1416">
      <c r="A1416" s="7">
        <v>45616.0</v>
      </c>
      <c r="B1416" s="8" t="s">
        <v>44</v>
      </c>
      <c r="C1416" s="9">
        <v>861.0</v>
      </c>
      <c r="D1416" s="10">
        <v>47.0</v>
      </c>
      <c r="E1416" s="10">
        <v>243.0</v>
      </c>
      <c r="F1416" s="10">
        <v>2024.0</v>
      </c>
      <c r="G1416" s="10"/>
    </row>
    <row r="1417">
      <c r="A1417" s="7">
        <v>45616.0</v>
      </c>
      <c r="B1417" s="8" t="s">
        <v>40</v>
      </c>
      <c r="C1417" s="11">
        <v>1087.0</v>
      </c>
      <c r="D1417" s="10">
        <v>47.0</v>
      </c>
      <c r="E1417" s="10">
        <v>243.0</v>
      </c>
      <c r="F1417" s="10">
        <v>2024.0</v>
      </c>
      <c r="G1417" s="10"/>
    </row>
    <row r="1418">
      <c r="A1418" s="7">
        <v>45624.0</v>
      </c>
      <c r="B1418" s="8" t="s">
        <v>50</v>
      </c>
      <c r="C1418" s="11">
        <v>2300.0</v>
      </c>
      <c r="D1418" s="10">
        <v>48.0</v>
      </c>
      <c r="E1418" s="10">
        <v>244.0</v>
      </c>
      <c r="F1418" s="10">
        <v>2024.0</v>
      </c>
      <c r="G1418" s="10"/>
    </row>
    <row r="1419">
      <c r="A1419" s="7">
        <v>45630.0</v>
      </c>
      <c r="B1419" s="8" t="s">
        <v>35</v>
      </c>
      <c r="C1419" s="11">
        <v>1379.0</v>
      </c>
      <c r="D1419" s="10">
        <v>49.0</v>
      </c>
      <c r="E1419" s="10">
        <v>245.0</v>
      </c>
      <c r="F1419" s="10">
        <v>2024.0</v>
      </c>
      <c r="G1419" s="10"/>
    </row>
    <row r="1420">
      <c r="A1420" s="7">
        <v>45630.0</v>
      </c>
      <c r="B1420" s="8" t="s">
        <v>41</v>
      </c>
      <c r="C1420" s="9">
        <v>54.0</v>
      </c>
      <c r="D1420" s="10">
        <v>49.0</v>
      </c>
      <c r="E1420" s="10">
        <v>245.0</v>
      </c>
      <c r="F1420" s="10">
        <v>2024.0</v>
      </c>
      <c r="G1420" s="10"/>
    </row>
    <row r="1421">
      <c r="A1421" s="7">
        <v>45630.0</v>
      </c>
      <c r="B1421" s="8" t="s">
        <v>36</v>
      </c>
      <c r="C1421" s="11">
        <v>1643.0</v>
      </c>
      <c r="D1421" s="10">
        <v>49.0</v>
      </c>
      <c r="E1421" s="10">
        <v>245.0</v>
      </c>
      <c r="F1421" s="10">
        <v>2024.0</v>
      </c>
      <c r="G1421" s="10"/>
    </row>
    <row r="1422">
      <c r="A1422" s="7">
        <v>45630.0</v>
      </c>
      <c r="B1422" s="8" t="s">
        <v>37</v>
      </c>
      <c r="C1422" s="11">
        <v>1439.0</v>
      </c>
      <c r="D1422" s="10">
        <v>49.0</v>
      </c>
      <c r="E1422" s="10">
        <v>245.0</v>
      </c>
      <c r="F1422" s="10">
        <v>2024.0</v>
      </c>
      <c r="G1422" s="10"/>
    </row>
    <row r="1423">
      <c r="A1423" s="7">
        <v>45630.0</v>
      </c>
      <c r="B1423" s="8" t="s">
        <v>49</v>
      </c>
      <c r="C1423" s="9">
        <v>250.0</v>
      </c>
      <c r="D1423" s="10">
        <v>49.0</v>
      </c>
      <c r="E1423" s="10">
        <v>245.0</v>
      </c>
      <c r="F1423" s="10">
        <v>2024.0</v>
      </c>
      <c r="G1423" s="10"/>
    </row>
    <row r="1424">
      <c r="A1424" s="7">
        <v>45630.0</v>
      </c>
      <c r="B1424" s="8" t="s">
        <v>34</v>
      </c>
      <c r="C1424" s="11">
        <v>1500.0</v>
      </c>
      <c r="D1424" s="10">
        <v>49.0</v>
      </c>
      <c r="E1424" s="10">
        <v>245.0</v>
      </c>
      <c r="F1424" s="10">
        <v>2024.0</v>
      </c>
      <c r="G1424" s="10"/>
    </row>
    <row r="1425">
      <c r="A1425" s="7">
        <v>45630.0</v>
      </c>
      <c r="B1425" s="8" t="s">
        <v>44</v>
      </c>
      <c r="C1425" s="11">
        <v>1280.0</v>
      </c>
      <c r="D1425" s="10">
        <v>49.0</v>
      </c>
      <c r="E1425" s="10">
        <v>245.0</v>
      </c>
      <c r="F1425" s="10">
        <v>2024.0</v>
      </c>
      <c r="G1425" s="10"/>
    </row>
    <row r="1426">
      <c r="A1426" s="7">
        <v>45630.0</v>
      </c>
      <c r="B1426" s="8" t="s">
        <v>40</v>
      </c>
      <c r="C1426" s="9">
        <v>442.0</v>
      </c>
      <c r="D1426" s="10">
        <v>49.0</v>
      </c>
      <c r="E1426" s="10">
        <v>245.0</v>
      </c>
      <c r="F1426" s="10">
        <v>2024.0</v>
      </c>
      <c r="G1426" s="10"/>
    </row>
    <row r="1427">
      <c r="A1427" s="7">
        <v>45637.0</v>
      </c>
      <c r="B1427" s="8" t="s">
        <v>35</v>
      </c>
      <c r="C1427" s="11">
        <v>2176.0</v>
      </c>
      <c r="D1427" s="10">
        <v>50.0</v>
      </c>
      <c r="E1427" s="10">
        <v>246.0</v>
      </c>
      <c r="F1427" s="10">
        <v>2024.0</v>
      </c>
      <c r="G1427" s="10"/>
    </row>
    <row r="1428">
      <c r="A1428" s="7">
        <v>45637.0</v>
      </c>
      <c r="B1428" s="8" t="s">
        <v>36</v>
      </c>
      <c r="C1428" s="11">
        <v>2226.0</v>
      </c>
      <c r="D1428" s="10">
        <v>50.0</v>
      </c>
      <c r="E1428" s="10">
        <v>246.0</v>
      </c>
      <c r="F1428" s="10">
        <v>2024.0</v>
      </c>
      <c r="G1428" s="10"/>
    </row>
    <row r="1429">
      <c r="A1429" s="7">
        <v>45637.0</v>
      </c>
      <c r="B1429" s="8" t="s">
        <v>37</v>
      </c>
      <c r="C1429" s="11">
        <v>1203.0</v>
      </c>
      <c r="D1429" s="10">
        <v>50.0</v>
      </c>
      <c r="E1429" s="10">
        <v>246.0</v>
      </c>
      <c r="F1429" s="10">
        <v>2024.0</v>
      </c>
      <c r="G1429" s="10"/>
    </row>
    <row r="1430">
      <c r="A1430" s="7">
        <v>45637.0</v>
      </c>
      <c r="B1430" s="8" t="s">
        <v>49</v>
      </c>
      <c r="C1430" s="9">
        <v>105.0</v>
      </c>
      <c r="D1430" s="10">
        <v>50.0</v>
      </c>
      <c r="E1430" s="10">
        <v>246.0</v>
      </c>
      <c r="F1430" s="10">
        <v>2024.0</v>
      </c>
      <c r="G1430" s="10"/>
    </row>
    <row r="1431">
      <c r="A1431" s="7">
        <v>45637.0</v>
      </c>
      <c r="B1431" s="8" t="s">
        <v>34</v>
      </c>
      <c r="C1431" s="11">
        <v>6570.0</v>
      </c>
      <c r="D1431" s="10">
        <v>50.0</v>
      </c>
      <c r="E1431" s="10">
        <v>246.0</v>
      </c>
      <c r="F1431" s="10">
        <v>2024.0</v>
      </c>
      <c r="G1431" s="10"/>
    </row>
    <row r="1432">
      <c r="A1432" s="7">
        <v>45637.0</v>
      </c>
      <c r="B1432" s="8" t="s">
        <v>44</v>
      </c>
      <c r="C1432" s="11">
        <v>1190.0</v>
      </c>
      <c r="D1432" s="10">
        <v>50.0</v>
      </c>
      <c r="E1432" s="10">
        <v>246.0</v>
      </c>
      <c r="F1432" s="10">
        <v>2024.0</v>
      </c>
      <c r="G1432" s="10"/>
    </row>
    <row r="1433">
      <c r="A1433" s="7">
        <v>45637.0</v>
      </c>
      <c r="B1433" s="8" t="s">
        <v>40</v>
      </c>
      <c r="C1433" s="9">
        <v>667.0</v>
      </c>
      <c r="D1433" s="10">
        <v>50.0</v>
      </c>
      <c r="E1433" s="10">
        <v>246.0</v>
      </c>
      <c r="F1433" s="10">
        <v>2024.0</v>
      </c>
      <c r="G1433" s="10"/>
    </row>
    <row r="1434">
      <c r="A1434" s="7">
        <v>45644.0</v>
      </c>
      <c r="B1434" s="8" t="s">
        <v>35</v>
      </c>
      <c r="C1434" s="9">
        <v>848.0</v>
      </c>
      <c r="D1434" s="10">
        <v>51.0</v>
      </c>
      <c r="E1434" s="10">
        <v>247.0</v>
      </c>
      <c r="F1434" s="10">
        <v>2024.0</v>
      </c>
      <c r="G1434" s="10"/>
    </row>
    <row r="1435">
      <c r="A1435" s="7">
        <v>45644.0</v>
      </c>
      <c r="B1435" s="8" t="s">
        <v>36</v>
      </c>
      <c r="C1435" s="11">
        <v>1342.0</v>
      </c>
      <c r="D1435" s="10">
        <v>51.0</v>
      </c>
      <c r="E1435" s="10">
        <v>247.0</v>
      </c>
      <c r="F1435" s="10">
        <v>2024.0</v>
      </c>
      <c r="G1435" s="10"/>
    </row>
    <row r="1436">
      <c r="A1436" s="7">
        <v>45644.0</v>
      </c>
      <c r="B1436" s="8" t="s">
        <v>37</v>
      </c>
      <c r="C1436" s="11">
        <v>1706.0</v>
      </c>
      <c r="D1436" s="10">
        <v>51.0</v>
      </c>
      <c r="E1436" s="10">
        <v>247.0</v>
      </c>
      <c r="F1436" s="10">
        <v>2024.0</v>
      </c>
      <c r="G1436" s="10"/>
    </row>
    <row r="1437">
      <c r="A1437" s="7">
        <v>45644.0</v>
      </c>
      <c r="B1437" s="8" t="s">
        <v>49</v>
      </c>
      <c r="C1437" s="9">
        <v>426.0</v>
      </c>
      <c r="D1437" s="10">
        <v>51.0</v>
      </c>
      <c r="E1437" s="10">
        <v>247.0</v>
      </c>
      <c r="F1437" s="10">
        <v>2024.0</v>
      </c>
      <c r="G1437" s="10"/>
    </row>
    <row r="1438">
      <c r="A1438" s="7">
        <v>45644.0</v>
      </c>
      <c r="B1438" s="8" t="s">
        <v>34</v>
      </c>
      <c r="C1438" s="11">
        <v>5100.0</v>
      </c>
      <c r="D1438" s="10">
        <v>51.0</v>
      </c>
      <c r="E1438" s="10">
        <v>247.0</v>
      </c>
      <c r="F1438" s="10">
        <v>2024.0</v>
      </c>
      <c r="G1438" s="10"/>
    </row>
    <row r="1439">
      <c r="A1439" s="7">
        <v>45644.0</v>
      </c>
      <c r="B1439" s="8" t="s">
        <v>44</v>
      </c>
      <c r="C1439" s="9">
        <v>922.0</v>
      </c>
      <c r="D1439" s="10">
        <v>51.0</v>
      </c>
      <c r="E1439" s="10">
        <v>247.0</v>
      </c>
      <c r="F1439" s="10">
        <v>2024.0</v>
      </c>
      <c r="G1439" s="10"/>
    </row>
    <row r="1440">
      <c r="A1440" s="7">
        <v>45644.0</v>
      </c>
      <c r="B1440" s="8" t="s">
        <v>40</v>
      </c>
      <c r="C1440" s="9">
        <v>485.0</v>
      </c>
      <c r="D1440" s="10">
        <v>51.0</v>
      </c>
      <c r="E1440" s="10">
        <v>247.0</v>
      </c>
      <c r="F1440" s="10">
        <v>2024.0</v>
      </c>
      <c r="G1440" s="10"/>
    </row>
    <row r="1441">
      <c r="A1441" s="7">
        <v>45652.0</v>
      </c>
      <c r="B1441" s="8" t="s">
        <v>36</v>
      </c>
      <c r="C1441" s="9">
        <v>504.0</v>
      </c>
      <c r="D1441" s="10">
        <v>52.0</v>
      </c>
      <c r="E1441" s="10">
        <v>248.0</v>
      </c>
      <c r="F1441" s="10">
        <v>2024.0</v>
      </c>
      <c r="G1441" s="10"/>
    </row>
    <row r="1442">
      <c r="A1442" s="7">
        <v>45652.0</v>
      </c>
      <c r="B1442" s="8" t="s">
        <v>34</v>
      </c>
      <c r="C1442" s="11">
        <v>2000.0</v>
      </c>
      <c r="D1442" s="10">
        <v>52.0</v>
      </c>
      <c r="E1442" s="10">
        <v>248.0</v>
      </c>
      <c r="F1442" s="10">
        <v>2024.0</v>
      </c>
      <c r="G1442" s="10"/>
    </row>
    <row r="1443">
      <c r="A1443" s="7">
        <v>45658.0</v>
      </c>
      <c r="B1443" s="8" t="s">
        <v>36</v>
      </c>
      <c r="C1443" s="9">
        <v>563.0</v>
      </c>
      <c r="D1443" s="10">
        <v>1.0</v>
      </c>
      <c r="E1443" s="10">
        <v>250.0</v>
      </c>
      <c r="F1443" s="10">
        <v>2025.0</v>
      </c>
      <c r="G1443" s="10"/>
    </row>
    <row r="1444">
      <c r="A1444" s="7">
        <v>45658.0</v>
      </c>
      <c r="B1444" s="8" t="s">
        <v>37</v>
      </c>
      <c r="C1444" s="9">
        <v>185.0</v>
      </c>
      <c r="D1444" s="10">
        <v>1.0</v>
      </c>
      <c r="E1444" s="10">
        <v>250.0</v>
      </c>
      <c r="F1444" s="10">
        <v>2025.0</v>
      </c>
      <c r="G1444" s="10"/>
    </row>
    <row r="1445">
      <c r="A1445" s="7">
        <v>45665.0</v>
      </c>
      <c r="B1445" s="8" t="s">
        <v>35</v>
      </c>
      <c r="C1445" s="11">
        <v>1571.0</v>
      </c>
      <c r="D1445" s="10">
        <v>2.0</v>
      </c>
      <c r="E1445" s="10">
        <v>251.0</v>
      </c>
      <c r="F1445" s="10">
        <v>2025.0</v>
      </c>
      <c r="G1445" s="10"/>
    </row>
    <row r="1446">
      <c r="A1446" s="7">
        <v>45665.0</v>
      </c>
      <c r="B1446" s="8" t="s">
        <v>36</v>
      </c>
      <c r="C1446" s="11">
        <v>2397.0</v>
      </c>
      <c r="D1446" s="10">
        <v>2.0</v>
      </c>
      <c r="E1446" s="10">
        <v>251.0</v>
      </c>
      <c r="F1446" s="10">
        <v>2025.0</v>
      </c>
      <c r="G1446" s="10"/>
    </row>
    <row r="1447">
      <c r="A1447" s="7">
        <v>45665.0</v>
      </c>
      <c r="B1447" s="8" t="s">
        <v>37</v>
      </c>
      <c r="C1447" s="11">
        <v>1115.0</v>
      </c>
      <c r="D1447" s="10">
        <v>2.0</v>
      </c>
      <c r="E1447" s="10">
        <v>251.0</v>
      </c>
      <c r="F1447" s="10">
        <v>2025.0</v>
      </c>
      <c r="G1447" s="10"/>
    </row>
    <row r="1448">
      <c r="A1448" s="7">
        <v>45665.0</v>
      </c>
      <c r="B1448" s="8" t="s">
        <v>49</v>
      </c>
      <c r="C1448" s="9">
        <v>426.0</v>
      </c>
      <c r="D1448" s="10">
        <v>2.0</v>
      </c>
      <c r="E1448" s="10">
        <v>251.0</v>
      </c>
      <c r="F1448" s="10">
        <v>2025.0</v>
      </c>
      <c r="G1448" s="10"/>
    </row>
    <row r="1449">
      <c r="A1449" s="7">
        <v>45665.0</v>
      </c>
      <c r="B1449" s="8" t="s">
        <v>34</v>
      </c>
      <c r="C1449" s="9">
        <v>900.0</v>
      </c>
      <c r="D1449" s="10">
        <v>2.0</v>
      </c>
      <c r="E1449" s="10">
        <v>251.0</v>
      </c>
      <c r="F1449" s="10">
        <v>2025.0</v>
      </c>
      <c r="G1449" s="10"/>
    </row>
    <row r="1450">
      <c r="A1450" s="7">
        <v>45665.0</v>
      </c>
      <c r="B1450" s="8" t="s">
        <v>44</v>
      </c>
      <c r="C1450" s="11">
        <v>1064.0</v>
      </c>
      <c r="D1450" s="10">
        <v>2.0</v>
      </c>
      <c r="E1450" s="10">
        <v>251.0</v>
      </c>
      <c r="F1450" s="10">
        <v>2025.0</v>
      </c>
      <c r="G1450" s="10"/>
    </row>
    <row r="1451">
      <c r="A1451" s="7">
        <v>45665.0</v>
      </c>
      <c r="B1451" s="8" t="s">
        <v>40</v>
      </c>
      <c r="C1451" s="9">
        <v>301.0</v>
      </c>
      <c r="D1451" s="10">
        <v>2.0</v>
      </c>
      <c r="E1451" s="10">
        <v>251.0</v>
      </c>
      <c r="F1451" s="10">
        <v>2025.0</v>
      </c>
      <c r="G1451" s="10"/>
    </row>
    <row r="1452">
      <c r="A1452" s="7">
        <v>45672.0</v>
      </c>
      <c r="B1452" s="8" t="s">
        <v>35</v>
      </c>
      <c r="C1452" s="11">
        <v>1180.0</v>
      </c>
      <c r="D1452" s="10">
        <v>3.0</v>
      </c>
      <c r="E1452" s="10">
        <v>252.0</v>
      </c>
      <c r="F1452" s="10">
        <v>2025.0</v>
      </c>
      <c r="G1452" s="10"/>
    </row>
    <row r="1453">
      <c r="A1453" s="7">
        <v>45672.0</v>
      </c>
      <c r="B1453" s="8" t="s">
        <v>36</v>
      </c>
      <c r="C1453" s="11">
        <v>2384.0</v>
      </c>
      <c r="D1453" s="10">
        <v>3.0</v>
      </c>
      <c r="E1453" s="10">
        <v>252.0</v>
      </c>
      <c r="F1453" s="10">
        <v>2025.0</v>
      </c>
      <c r="G1453" s="10"/>
    </row>
    <row r="1454">
      <c r="A1454" s="7">
        <v>45672.0</v>
      </c>
      <c r="B1454" s="8" t="s">
        <v>37</v>
      </c>
      <c r="C1454" s="11">
        <v>1776.0</v>
      </c>
      <c r="D1454" s="10">
        <v>3.0</v>
      </c>
      <c r="E1454" s="10">
        <v>252.0</v>
      </c>
      <c r="F1454" s="10">
        <v>2025.0</v>
      </c>
      <c r="G1454" s="10"/>
    </row>
    <row r="1455">
      <c r="A1455" s="7">
        <v>45672.0</v>
      </c>
      <c r="B1455" s="8" t="s">
        <v>49</v>
      </c>
      <c r="C1455" s="9">
        <v>230.0</v>
      </c>
      <c r="D1455" s="10">
        <v>3.0</v>
      </c>
      <c r="E1455" s="10">
        <v>252.0</v>
      </c>
      <c r="F1455" s="10">
        <v>2025.0</v>
      </c>
      <c r="G1455" s="10"/>
    </row>
    <row r="1456">
      <c r="A1456" s="7">
        <v>45672.0</v>
      </c>
      <c r="B1456" s="8" t="s">
        <v>34</v>
      </c>
      <c r="C1456" s="11">
        <v>1730.0</v>
      </c>
      <c r="D1456" s="10">
        <v>3.0</v>
      </c>
      <c r="E1456" s="10">
        <v>252.0</v>
      </c>
      <c r="F1456" s="10">
        <v>2025.0</v>
      </c>
      <c r="G1456" s="10"/>
    </row>
    <row r="1457">
      <c r="A1457" s="7">
        <v>45672.0</v>
      </c>
      <c r="B1457" s="8" t="s">
        <v>44</v>
      </c>
      <c r="C1457" s="9">
        <v>727.0</v>
      </c>
      <c r="D1457" s="10">
        <v>3.0</v>
      </c>
      <c r="E1457" s="10">
        <v>252.0</v>
      </c>
      <c r="F1457" s="10">
        <v>2025.0</v>
      </c>
      <c r="G1457" s="10"/>
    </row>
    <row r="1458">
      <c r="A1458" s="7">
        <v>45672.0</v>
      </c>
      <c r="B1458" s="8" t="s">
        <v>40</v>
      </c>
      <c r="C1458" s="9">
        <v>664.0</v>
      </c>
      <c r="D1458" s="10">
        <v>3.0</v>
      </c>
      <c r="E1458" s="10">
        <v>252.0</v>
      </c>
      <c r="F1458" s="10">
        <v>2025.0</v>
      </c>
      <c r="G1458" s="10"/>
    </row>
    <row r="1459">
      <c r="A1459" s="7">
        <v>45677.0</v>
      </c>
      <c r="B1459" s="8" t="s">
        <v>50</v>
      </c>
      <c r="C1459" s="11">
        <v>19706.0</v>
      </c>
      <c r="D1459" s="10">
        <v>4.0</v>
      </c>
      <c r="E1459" s="10">
        <v>253.0</v>
      </c>
      <c r="F1459" s="10">
        <v>2025.0</v>
      </c>
      <c r="G1459" s="10"/>
    </row>
    <row r="1460">
      <c r="A1460" s="7">
        <v>45679.0</v>
      </c>
      <c r="B1460" s="12" t="s">
        <v>35</v>
      </c>
      <c r="C1460" s="9">
        <v>864.0</v>
      </c>
      <c r="D1460" s="10">
        <v>4.0</v>
      </c>
      <c r="E1460" s="10">
        <v>253.0</v>
      </c>
      <c r="F1460" s="10">
        <v>2025.0</v>
      </c>
      <c r="G1460" s="10"/>
    </row>
    <row r="1461">
      <c r="A1461" s="7">
        <v>45679.0</v>
      </c>
      <c r="B1461" s="12" t="s">
        <v>36</v>
      </c>
      <c r="C1461" s="9">
        <v>1778.0</v>
      </c>
      <c r="D1461" s="10">
        <v>4.0</v>
      </c>
      <c r="E1461" s="10">
        <v>253.0</v>
      </c>
      <c r="F1461" s="10">
        <v>2025.0</v>
      </c>
      <c r="G1461" s="10"/>
    </row>
    <row r="1462">
      <c r="A1462" s="7">
        <v>45679.0</v>
      </c>
      <c r="B1462" s="12" t="s">
        <v>37</v>
      </c>
      <c r="C1462" s="11">
        <v>1592.0</v>
      </c>
      <c r="D1462" s="10">
        <v>4.0</v>
      </c>
      <c r="E1462" s="10">
        <v>253.0</v>
      </c>
      <c r="F1462" s="10">
        <v>2025.0</v>
      </c>
      <c r="G1462" s="10"/>
    </row>
    <row r="1463">
      <c r="A1463" s="7">
        <v>45679.0</v>
      </c>
      <c r="B1463" s="12" t="s">
        <v>49</v>
      </c>
      <c r="C1463" s="9">
        <v>258.0</v>
      </c>
      <c r="D1463" s="10">
        <v>4.0</v>
      </c>
      <c r="E1463" s="10">
        <v>253.0</v>
      </c>
      <c r="F1463" s="10">
        <v>2025.0</v>
      </c>
      <c r="G1463" s="10"/>
    </row>
    <row r="1464">
      <c r="A1464" s="7">
        <v>45679.0</v>
      </c>
      <c r="B1464" s="12" t="s">
        <v>44</v>
      </c>
      <c r="C1464" s="9">
        <v>2782.0</v>
      </c>
      <c r="D1464" s="10">
        <v>4.0</v>
      </c>
      <c r="E1464" s="10">
        <v>253.0</v>
      </c>
      <c r="F1464" s="10">
        <v>2025.0</v>
      </c>
      <c r="G1464" s="10"/>
    </row>
    <row r="1465">
      <c r="A1465" s="7">
        <v>45679.0</v>
      </c>
      <c r="B1465" s="12" t="s">
        <v>40</v>
      </c>
      <c r="C1465" s="9">
        <v>873.0</v>
      </c>
      <c r="D1465" s="10">
        <v>4.0</v>
      </c>
      <c r="E1465" s="10">
        <v>253.0</v>
      </c>
      <c r="F1465" s="10">
        <v>2025.0</v>
      </c>
      <c r="G1465" s="10"/>
    </row>
    <row r="1466">
      <c r="A1466" s="7">
        <v>45686.0</v>
      </c>
      <c r="B1466" s="12" t="s">
        <v>35</v>
      </c>
      <c r="C1466" s="9">
        <v>936.0</v>
      </c>
      <c r="D1466" s="10">
        <v>5.0</v>
      </c>
      <c r="E1466" s="10">
        <v>254.0</v>
      </c>
      <c r="F1466" s="10">
        <v>2025.0</v>
      </c>
      <c r="G1466" s="10"/>
    </row>
    <row r="1467">
      <c r="A1467" s="7">
        <v>45686.0</v>
      </c>
      <c r="B1467" s="8" t="s">
        <v>36</v>
      </c>
      <c r="C1467" s="9" t="s">
        <v>52</v>
      </c>
      <c r="D1467" s="10">
        <v>5.0</v>
      </c>
      <c r="E1467" s="10">
        <v>254.0</v>
      </c>
      <c r="F1467" s="10">
        <v>2025.0</v>
      </c>
      <c r="G1467" s="10"/>
    </row>
    <row r="1468">
      <c r="A1468" s="7">
        <v>45686.0</v>
      </c>
      <c r="B1468" s="12" t="s">
        <v>37</v>
      </c>
      <c r="C1468" s="11">
        <v>1890.0</v>
      </c>
      <c r="D1468" s="10">
        <v>5.0</v>
      </c>
      <c r="E1468" s="10">
        <v>254.0</v>
      </c>
      <c r="F1468" s="10">
        <v>2025.0</v>
      </c>
      <c r="G1468" s="10"/>
    </row>
    <row r="1469">
      <c r="A1469" s="7">
        <v>45686.0</v>
      </c>
      <c r="B1469" s="12" t="s">
        <v>49</v>
      </c>
      <c r="C1469" s="9">
        <v>402.0</v>
      </c>
      <c r="D1469" s="10">
        <v>5.0</v>
      </c>
      <c r="E1469" s="10">
        <v>254.0</v>
      </c>
      <c r="F1469" s="10">
        <v>2025.0</v>
      </c>
      <c r="G1469" s="10"/>
    </row>
    <row r="1470">
      <c r="A1470" s="7">
        <v>45686.0</v>
      </c>
      <c r="B1470" s="12" t="s">
        <v>34</v>
      </c>
      <c r="C1470" s="11">
        <v>7140.0</v>
      </c>
      <c r="D1470" s="10">
        <v>5.0</v>
      </c>
      <c r="E1470" s="10">
        <v>254.0</v>
      </c>
      <c r="F1470" s="10">
        <v>2025.0</v>
      </c>
      <c r="G1470" s="10"/>
    </row>
    <row r="1471">
      <c r="A1471" s="7">
        <v>45686.0</v>
      </c>
      <c r="B1471" s="12" t="s">
        <v>44</v>
      </c>
      <c r="C1471" s="11">
        <v>1992.0</v>
      </c>
      <c r="D1471" s="10">
        <v>5.0</v>
      </c>
      <c r="E1471" s="10">
        <v>254.0</v>
      </c>
      <c r="F1471" s="10">
        <v>2025.0</v>
      </c>
      <c r="G1471" s="10"/>
    </row>
    <row r="1472">
      <c r="A1472" s="7">
        <v>45686.0</v>
      </c>
      <c r="B1472" s="12" t="s">
        <v>40</v>
      </c>
      <c r="C1472" s="9">
        <v>706.0</v>
      </c>
      <c r="D1472" s="10">
        <v>5.0</v>
      </c>
      <c r="E1472" s="10">
        <v>254.0</v>
      </c>
      <c r="F1472" s="10">
        <v>2025.0</v>
      </c>
      <c r="G1472" s="10"/>
    </row>
    <row r="1473">
      <c r="A1473" s="7">
        <v>45693.0</v>
      </c>
      <c r="B1473" s="12" t="s">
        <v>35</v>
      </c>
      <c r="C1473" s="11">
        <v>1252.0</v>
      </c>
      <c r="D1473" s="10">
        <v>6.0</v>
      </c>
      <c r="E1473" s="10">
        <v>255.0</v>
      </c>
      <c r="F1473" s="10">
        <v>2025.0</v>
      </c>
      <c r="G1473" s="10"/>
    </row>
    <row r="1474">
      <c r="A1474" s="7">
        <v>45693.0</v>
      </c>
      <c r="B1474" s="12" t="s">
        <v>51</v>
      </c>
      <c r="C1474" s="9">
        <v>50.0</v>
      </c>
      <c r="D1474" s="10">
        <v>6.0</v>
      </c>
      <c r="E1474" s="10">
        <v>255.0</v>
      </c>
      <c r="F1474" s="10">
        <v>2025.0</v>
      </c>
      <c r="G1474" s="10"/>
    </row>
    <row r="1475">
      <c r="A1475" s="7">
        <v>45693.0</v>
      </c>
      <c r="B1475" s="12" t="s">
        <v>36</v>
      </c>
      <c r="C1475" s="11">
        <v>2173.0</v>
      </c>
      <c r="D1475" s="10">
        <v>6.0</v>
      </c>
      <c r="E1475" s="10">
        <v>255.0</v>
      </c>
      <c r="F1475" s="10">
        <v>2025.0</v>
      </c>
      <c r="G1475" s="10"/>
    </row>
    <row r="1476">
      <c r="A1476" s="7">
        <v>45693.0</v>
      </c>
      <c r="B1476" s="12" t="s">
        <v>37</v>
      </c>
      <c r="C1476" s="11">
        <v>1265.0</v>
      </c>
      <c r="D1476" s="10">
        <v>6.0</v>
      </c>
      <c r="E1476" s="10">
        <v>255.0</v>
      </c>
      <c r="F1476" s="10">
        <v>2025.0</v>
      </c>
      <c r="G1476" s="10"/>
    </row>
    <row r="1477">
      <c r="A1477" s="7">
        <v>45693.0</v>
      </c>
      <c r="B1477" s="12" t="s">
        <v>34</v>
      </c>
      <c r="C1477" s="11">
        <v>2600.0</v>
      </c>
      <c r="D1477" s="10">
        <v>6.0</v>
      </c>
      <c r="E1477" s="10">
        <v>255.0</v>
      </c>
      <c r="F1477" s="10">
        <v>2025.0</v>
      </c>
      <c r="G1477" s="10"/>
    </row>
    <row r="1478">
      <c r="A1478" s="7">
        <v>45693.0</v>
      </c>
      <c r="B1478" s="12" t="s">
        <v>44</v>
      </c>
      <c r="C1478" s="9">
        <v>854.0</v>
      </c>
      <c r="D1478" s="10">
        <v>6.0</v>
      </c>
      <c r="E1478" s="10">
        <v>255.0</v>
      </c>
      <c r="F1478" s="10">
        <v>2025.0</v>
      </c>
      <c r="G1478" s="10"/>
    </row>
    <row r="1479">
      <c r="A1479" s="7">
        <v>45693.0</v>
      </c>
      <c r="B1479" s="12" t="s">
        <v>40</v>
      </c>
      <c r="C1479" s="9">
        <v>549.0</v>
      </c>
      <c r="D1479" s="10">
        <v>6.0</v>
      </c>
      <c r="E1479" s="10">
        <v>255.0</v>
      </c>
      <c r="F1479" s="10">
        <v>2025.0</v>
      </c>
      <c r="G1479" s="10"/>
    </row>
    <row r="1480">
      <c r="A1480" s="7">
        <v>45700.0</v>
      </c>
      <c r="B1480" s="12" t="s">
        <v>35</v>
      </c>
      <c r="C1480" s="11">
        <v>1852.0</v>
      </c>
      <c r="D1480" s="10">
        <v>7.0</v>
      </c>
      <c r="E1480" s="10">
        <v>256.0</v>
      </c>
      <c r="F1480" s="10">
        <v>2025.0</v>
      </c>
      <c r="G1480" s="10"/>
    </row>
    <row r="1481">
      <c r="A1481" s="7">
        <v>45700.0</v>
      </c>
      <c r="B1481" s="12" t="s">
        <v>51</v>
      </c>
      <c r="C1481" s="9">
        <v>50.0</v>
      </c>
      <c r="D1481" s="10">
        <v>7.0</v>
      </c>
      <c r="E1481" s="10">
        <v>256.0</v>
      </c>
      <c r="F1481" s="10">
        <v>2025.0</v>
      </c>
      <c r="G1481" s="10"/>
    </row>
    <row r="1482">
      <c r="A1482" s="7">
        <v>45700.0</v>
      </c>
      <c r="B1482" s="8" t="s">
        <v>36</v>
      </c>
      <c r="C1482" s="11">
        <v>1272.0</v>
      </c>
      <c r="D1482" s="10">
        <v>7.0</v>
      </c>
      <c r="E1482" s="10">
        <v>256.0</v>
      </c>
      <c r="F1482" s="10">
        <v>2025.0</v>
      </c>
      <c r="G1482" s="10"/>
    </row>
    <row r="1483">
      <c r="A1483" s="7">
        <v>45700.0</v>
      </c>
      <c r="B1483" s="12" t="s">
        <v>37</v>
      </c>
      <c r="C1483" s="9">
        <v>976.0</v>
      </c>
      <c r="D1483" s="10">
        <v>7.0</v>
      </c>
      <c r="E1483" s="10">
        <v>256.0</v>
      </c>
      <c r="F1483" s="10">
        <v>2025.0</v>
      </c>
      <c r="G1483" s="10"/>
    </row>
    <row r="1484">
      <c r="A1484" s="7">
        <v>45700.0</v>
      </c>
      <c r="B1484" s="8" t="s">
        <v>49</v>
      </c>
      <c r="C1484" s="9">
        <v>141.0</v>
      </c>
      <c r="D1484" s="10">
        <v>7.0</v>
      </c>
      <c r="E1484" s="10">
        <v>256.0</v>
      </c>
      <c r="F1484" s="10">
        <v>2025.0</v>
      </c>
      <c r="G1484" s="10"/>
    </row>
    <row r="1485">
      <c r="A1485" s="7">
        <v>45700.0</v>
      </c>
      <c r="B1485" s="8" t="s">
        <v>34</v>
      </c>
      <c r="C1485" s="11">
        <v>4474.0</v>
      </c>
      <c r="D1485" s="10">
        <v>7.0</v>
      </c>
      <c r="E1485" s="10">
        <v>256.0</v>
      </c>
      <c r="F1485" s="10">
        <v>2025.0</v>
      </c>
      <c r="G1485" s="10"/>
    </row>
    <row r="1486">
      <c r="A1486" s="7">
        <v>45700.0</v>
      </c>
      <c r="B1486" s="12" t="s">
        <v>44</v>
      </c>
      <c r="C1486" s="9">
        <v>719.0</v>
      </c>
      <c r="D1486" s="10">
        <v>7.0</v>
      </c>
      <c r="E1486" s="10">
        <v>256.0</v>
      </c>
      <c r="F1486" s="10">
        <v>2025.0</v>
      </c>
      <c r="G1486" s="10"/>
    </row>
    <row r="1487">
      <c r="A1487" s="7">
        <v>45700.0</v>
      </c>
      <c r="B1487" s="8" t="s">
        <v>40</v>
      </c>
      <c r="C1487" s="9">
        <v>538.0</v>
      </c>
      <c r="D1487" s="10">
        <v>7.0</v>
      </c>
      <c r="E1487" s="10">
        <v>256.0</v>
      </c>
      <c r="F1487" s="10">
        <v>2025.0</v>
      </c>
      <c r="G1487" s="10"/>
    </row>
    <row r="1488">
      <c r="A1488" s="7">
        <v>45707.0</v>
      </c>
      <c r="B1488" s="8" t="s">
        <v>35</v>
      </c>
      <c r="C1488" s="9">
        <v>900.0</v>
      </c>
      <c r="D1488" s="10">
        <v>8.0</v>
      </c>
      <c r="E1488" s="10">
        <v>257.0</v>
      </c>
      <c r="F1488" s="10">
        <v>2025.0</v>
      </c>
      <c r="G1488" s="10"/>
    </row>
    <row r="1489">
      <c r="A1489" s="7">
        <v>45707.0</v>
      </c>
      <c r="B1489" s="8" t="s">
        <v>51</v>
      </c>
      <c r="C1489" s="9">
        <v>50.0</v>
      </c>
      <c r="D1489" s="10">
        <v>8.0</v>
      </c>
      <c r="E1489" s="10">
        <v>257.0</v>
      </c>
      <c r="F1489" s="10">
        <v>2025.0</v>
      </c>
      <c r="G1489" s="10"/>
    </row>
    <row r="1490">
      <c r="A1490" s="7">
        <v>45707.0</v>
      </c>
      <c r="B1490" s="8" t="s">
        <v>36</v>
      </c>
      <c r="C1490" s="11">
        <v>2667.0</v>
      </c>
      <c r="D1490" s="10">
        <v>8.0</v>
      </c>
      <c r="E1490" s="10">
        <v>257.0</v>
      </c>
      <c r="F1490" s="10">
        <v>2025.0</v>
      </c>
      <c r="G1490" s="10"/>
    </row>
    <row r="1491">
      <c r="A1491" s="7">
        <v>45707.0</v>
      </c>
      <c r="B1491" s="8" t="s">
        <v>37</v>
      </c>
      <c r="C1491" s="11">
        <v>1381.0</v>
      </c>
      <c r="D1491" s="10">
        <v>8.0</v>
      </c>
      <c r="E1491" s="10">
        <v>257.0</v>
      </c>
      <c r="F1491" s="10">
        <v>2025.0</v>
      </c>
      <c r="G1491" s="10"/>
    </row>
    <row r="1492">
      <c r="A1492" s="7">
        <v>45707.0</v>
      </c>
      <c r="B1492" s="8" t="s">
        <v>49</v>
      </c>
      <c r="C1492" s="9">
        <v>284.0</v>
      </c>
      <c r="D1492" s="10">
        <v>8.0</v>
      </c>
      <c r="E1492" s="10">
        <v>257.0</v>
      </c>
      <c r="F1492" s="10">
        <v>2025.0</v>
      </c>
      <c r="G1492" s="10"/>
    </row>
    <row r="1493">
      <c r="A1493" s="7">
        <v>45707.0</v>
      </c>
      <c r="B1493" s="8" t="s">
        <v>34</v>
      </c>
      <c r="C1493" s="11">
        <v>2650.0</v>
      </c>
      <c r="D1493" s="10">
        <v>8.0</v>
      </c>
      <c r="E1493" s="10">
        <v>257.0</v>
      </c>
      <c r="F1493" s="10">
        <v>2025.0</v>
      </c>
      <c r="G1493" s="10"/>
    </row>
    <row r="1494">
      <c r="A1494" s="7">
        <v>45707.0</v>
      </c>
      <c r="B1494" s="8" t="s">
        <v>44</v>
      </c>
      <c r="C1494" s="11">
        <v>1371.0</v>
      </c>
      <c r="D1494" s="10">
        <v>8.0</v>
      </c>
      <c r="E1494" s="10">
        <v>257.0</v>
      </c>
      <c r="F1494" s="10">
        <v>2025.0</v>
      </c>
      <c r="G1494" s="10"/>
    </row>
    <row r="1495">
      <c r="A1495" s="7">
        <v>45707.0</v>
      </c>
      <c r="B1495" s="8" t="s">
        <v>40</v>
      </c>
      <c r="C1495" s="9">
        <v>677.0</v>
      </c>
      <c r="D1495" s="10">
        <v>8.0</v>
      </c>
      <c r="E1495" s="10">
        <v>257.0</v>
      </c>
      <c r="F1495" s="10">
        <v>2025.0</v>
      </c>
      <c r="G1495" s="10"/>
    </row>
    <row r="1496">
      <c r="A1496" s="7">
        <v>45714.0</v>
      </c>
      <c r="B1496" s="8" t="s">
        <v>35</v>
      </c>
      <c r="C1496" s="11">
        <v>1010.0</v>
      </c>
      <c r="D1496" s="10">
        <v>9.0</v>
      </c>
      <c r="E1496" s="10">
        <v>258.0</v>
      </c>
      <c r="F1496" s="10">
        <v>2025.0</v>
      </c>
      <c r="G1496" s="10"/>
    </row>
    <row r="1497">
      <c r="A1497" s="7">
        <v>45714.0</v>
      </c>
      <c r="B1497" s="8" t="s">
        <v>51</v>
      </c>
      <c r="C1497" s="9">
        <v>50.0</v>
      </c>
      <c r="D1497" s="10">
        <v>9.0</v>
      </c>
      <c r="E1497" s="10">
        <v>258.0</v>
      </c>
      <c r="F1497" s="10">
        <v>2025.0</v>
      </c>
      <c r="G1497" s="10"/>
    </row>
    <row r="1498">
      <c r="A1498" s="7">
        <v>45714.0</v>
      </c>
      <c r="B1498" s="8" t="s">
        <v>36</v>
      </c>
      <c r="C1498" s="11">
        <v>1153.0</v>
      </c>
      <c r="D1498" s="10">
        <v>9.0</v>
      </c>
      <c r="E1498" s="10">
        <v>258.0</v>
      </c>
      <c r="F1498" s="10">
        <v>2025.0</v>
      </c>
      <c r="G1498" s="10"/>
    </row>
    <row r="1499">
      <c r="A1499" s="7">
        <v>45714.0</v>
      </c>
      <c r="B1499" s="8" t="s">
        <v>37</v>
      </c>
      <c r="C1499" s="9">
        <v>854.0</v>
      </c>
      <c r="D1499" s="10">
        <v>9.0</v>
      </c>
      <c r="E1499" s="10">
        <v>258.0</v>
      </c>
      <c r="F1499" s="10">
        <v>2025.0</v>
      </c>
      <c r="G1499" s="10"/>
    </row>
    <row r="1500">
      <c r="A1500" s="7">
        <v>45714.0</v>
      </c>
      <c r="B1500" s="8" t="s">
        <v>49</v>
      </c>
      <c r="C1500" s="9">
        <v>516.0</v>
      </c>
      <c r="D1500" s="10">
        <v>9.0</v>
      </c>
      <c r="E1500" s="10">
        <v>258.0</v>
      </c>
      <c r="F1500" s="10">
        <v>2025.0</v>
      </c>
      <c r="G1500" s="10"/>
    </row>
    <row r="1501">
      <c r="A1501" s="7">
        <v>45714.0</v>
      </c>
      <c r="B1501" s="8" t="s">
        <v>34</v>
      </c>
      <c r="C1501" s="11">
        <v>1380.0</v>
      </c>
      <c r="D1501" s="10">
        <v>9.0</v>
      </c>
      <c r="E1501" s="10">
        <v>258.0</v>
      </c>
      <c r="F1501" s="10">
        <v>2025.0</v>
      </c>
      <c r="G1501" s="10"/>
    </row>
    <row r="1502">
      <c r="A1502" s="7">
        <v>45714.0</v>
      </c>
      <c r="B1502" s="8" t="s">
        <v>44</v>
      </c>
      <c r="C1502" s="9">
        <v>605.0</v>
      </c>
      <c r="D1502" s="10">
        <v>9.0</v>
      </c>
      <c r="E1502" s="10">
        <v>258.0</v>
      </c>
      <c r="F1502" s="10">
        <v>2025.0</v>
      </c>
      <c r="G1502" s="10"/>
    </row>
    <row r="1503">
      <c r="A1503" s="7">
        <v>45714.0</v>
      </c>
      <c r="B1503" s="8" t="s">
        <v>40</v>
      </c>
      <c r="C1503" s="9">
        <v>650.0</v>
      </c>
      <c r="D1503" s="10">
        <v>9.0</v>
      </c>
      <c r="E1503" s="10">
        <v>258.0</v>
      </c>
      <c r="F1503" s="10">
        <v>2025.0</v>
      </c>
      <c r="G1503" s="10"/>
    </row>
    <row r="1504">
      <c r="A1504" s="7">
        <v>45721.0</v>
      </c>
      <c r="B1504" s="8" t="s">
        <v>35</v>
      </c>
      <c r="C1504" s="11">
        <v>1092.0</v>
      </c>
      <c r="D1504" s="10">
        <v>10.0</v>
      </c>
      <c r="E1504" s="10">
        <v>259.0</v>
      </c>
      <c r="F1504" s="10">
        <v>2025.0</v>
      </c>
      <c r="G1504" s="10"/>
    </row>
    <row r="1505">
      <c r="A1505" s="7">
        <v>45721.0</v>
      </c>
      <c r="B1505" s="8" t="s">
        <v>51</v>
      </c>
      <c r="C1505" s="9">
        <v>50.0</v>
      </c>
      <c r="D1505" s="10">
        <v>10.0</v>
      </c>
      <c r="E1505" s="10">
        <v>259.0</v>
      </c>
      <c r="F1505" s="10">
        <v>2025.0</v>
      </c>
      <c r="G1505" s="10"/>
    </row>
    <row r="1506">
      <c r="A1506" s="7">
        <v>45721.0</v>
      </c>
      <c r="B1506" s="8" t="s">
        <v>36</v>
      </c>
      <c r="C1506" s="9">
        <v>769.0</v>
      </c>
      <c r="D1506" s="10">
        <v>10.0</v>
      </c>
      <c r="E1506" s="10">
        <v>259.0</v>
      </c>
      <c r="F1506" s="10">
        <v>2025.0</v>
      </c>
      <c r="G1506" s="10"/>
    </row>
    <row r="1507">
      <c r="A1507" s="7">
        <v>45721.0</v>
      </c>
      <c r="B1507" s="8" t="s">
        <v>37</v>
      </c>
      <c r="C1507" s="9">
        <v>983.0</v>
      </c>
      <c r="D1507" s="10">
        <v>10.0</v>
      </c>
      <c r="E1507" s="10">
        <v>259.0</v>
      </c>
      <c r="F1507" s="10">
        <v>2025.0</v>
      </c>
      <c r="G1507" s="10"/>
    </row>
    <row r="1508">
      <c r="A1508" s="7">
        <v>45721.0</v>
      </c>
      <c r="B1508" s="8" t="s">
        <v>49</v>
      </c>
      <c r="C1508" s="9">
        <v>351.0</v>
      </c>
      <c r="D1508" s="10">
        <v>10.0</v>
      </c>
      <c r="E1508" s="10">
        <v>259.0</v>
      </c>
      <c r="F1508" s="10">
        <v>2025.0</v>
      </c>
      <c r="G1508" s="10"/>
    </row>
    <row r="1509">
      <c r="A1509" s="7">
        <v>45721.0</v>
      </c>
      <c r="B1509" s="8" t="s">
        <v>34</v>
      </c>
      <c r="C1509" s="11">
        <v>4795.0</v>
      </c>
      <c r="D1509" s="10">
        <v>10.0</v>
      </c>
      <c r="E1509" s="10">
        <v>259.0</v>
      </c>
      <c r="F1509" s="10">
        <v>2025.0</v>
      </c>
      <c r="G1509" s="10"/>
    </row>
    <row r="1510">
      <c r="A1510" s="7">
        <v>45721.0</v>
      </c>
      <c r="B1510" s="8" t="s">
        <v>44</v>
      </c>
      <c r="C1510" s="9">
        <v>815.0</v>
      </c>
      <c r="D1510" s="10">
        <v>10.0</v>
      </c>
      <c r="E1510" s="10">
        <v>259.0</v>
      </c>
      <c r="F1510" s="10">
        <v>2025.0</v>
      </c>
      <c r="G1510" s="10"/>
    </row>
    <row r="1511">
      <c r="A1511" s="7">
        <v>45721.0</v>
      </c>
      <c r="B1511" s="8" t="s">
        <v>40</v>
      </c>
      <c r="C1511" s="9">
        <v>117.0</v>
      </c>
      <c r="D1511" s="10">
        <v>10.0</v>
      </c>
      <c r="E1511" s="10">
        <v>259.0</v>
      </c>
      <c r="F1511" s="10">
        <v>2025.0</v>
      </c>
      <c r="G1511" s="10"/>
    </row>
    <row r="1512">
      <c r="A1512" s="7">
        <v>45728.0</v>
      </c>
      <c r="B1512" s="8" t="s">
        <v>35</v>
      </c>
      <c r="C1512" s="11">
        <v>1301.0</v>
      </c>
      <c r="D1512" s="10">
        <v>11.0</v>
      </c>
      <c r="E1512" s="10">
        <v>260.0</v>
      </c>
      <c r="F1512" s="10">
        <v>2025.0</v>
      </c>
      <c r="G1512" s="10"/>
    </row>
    <row r="1513">
      <c r="A1513" s="7">
        <v>45728.0</v>
      </c>
      <c r="B1513" s="8" t="s">
        <v>51</v>
      </c>
      <c r="C1513" s="9">
        <v>50.0</v>
      </c>
      <c r="D1513" s="10">
        <v>11.0</v>
      </c>
      <c r="E1513" s="10">
        <v>260.0</v>
      </c>
      <c r="F1513" s="10">
        <v>2025.0</v>
      </c>
      <c r="G1513" s="10"/>
    </row>
    <row r="1514">
      <c r="A1514" s="7">
        <v>45728.0</v>
      </c>
      <c r="B1514" s="8" t="s">
        <v>36</v>
      </c>
      <c r="C1514" s="9">
        <v>840.0</v>
      </c>
      <c r="D1514" s="10">
        <v>11.0</v>
      </c>
      <c r="E1514" s="10">
        <v>260.0</v>
      </c>
      <c r="F1514" s="10">
        <v>2025.0</v>
      </c>
      <c r="G1514" s="10"/>
    </row>
    <row r="1515">
      <c r="A1515" s="7">
        <v>45728.0</v>
      </c>
      <c r="B1515" s="8" t="s">
        <v>37</v>
      </c>
      <c r="C1515" s="11">
        <v>1597.0</v>
      </c>
      <c r="D1515" s="10">
        <v>11.0</v>
      </c>
      <c r="E1515" s="10">
        <v>260.0</v>
      </c>
      <c r="F1515" s="10">
        <v>2025.0</v>
      </c>
      <c r="G1515" s="10"/>
    </row>
    <row r="1516">
      <c r="A1516" s="7">
        <v>45728.0</v>
      </c>
      <c r="B1516" s="8" t="s">
        <v>49</v>
      </c>
      <c r="C1516" s="9">
        <v>275.0</v>
      </c>
      <c r="D1516" s="10">
        <v>11.0</v>
      </c>
      <c r="E1516" s="10">
        <v>260.0</v>
      </c>
      <c r="F1516" s="10">
        <v>2025.0</v>
      </c>
      <c r="G1516" s="10"/>
    </row>
    <row r="1517">
      <c r="A1517" s="7">
        <v>45728.0</v>
      </c>
      <c r="B1517" s="8" t="s">
        <v>34</v>
      </c>
      <c r="C1517" s="11">
        <v>4780.0</v>
      </c>
      <c r="D1517" s="10">
        <v>11.0</v>
      </c>
      <c r="E1517" s="10">
        <v>260.0</v>
      </c>
      <c r="F1517" s="10">
        <v>2025.0</v>
      </c>
      <c r="G1517" s="10"/>
    </row>
    <row r="1518">
      <c r="A1518" s="7">
        <v>45728.0</v>
      </c>
      <c r="B1518" s="8" t="s">
        <v>44</v>
      </c>
      <c r="C1518" s="9">
        <v>796.0</v>
      </c>
      <c r="D1518" s="10">
        <v>11.0</v>
      </c>
      <c r="E1518" s="10">
        <v>260.0</v>
      </c>
      <c r="F1518" s="10">
        <v>2025.0</v>
      </c>
      <c r="G1518" s="10"/>
    </row>
    <row r="1519">
      <c r="A1519" s="7">
        <v>45728.0</v>
      </c>
      <c r="B1519" s="8" t="s">
        <v>40</v>
      </c>
      <c r="C1519" s="9">
        <v>485.0</v>
      </c>
      <c r="D1519" s="10">
        <v>11.0</v>
      </c>
      <c r="E1519" s="10">
        <v>260.0</v>
      </c>
      <c r="F1519" s="10">
        <v>2025.0</v>
      </c>
      <c r="G1519" s="10"/>
    </row>
    <row r="1520">
      <c r="A1520" s="7">
        <v>45735.0</v>
      </c>
      <c r="B1520" s="8" t="s">
        <v>35</v>
      </c>
      <c r="C1520" s="11">
        <v>1106.0</v>
      </c>
      <c r="D1520" s="10">
        <v>12.0</v>
      </c>
      <c r="E1520" s="10">
        <v>261.0</v>
      </c>
      <c r="F1520" s="10">
        <v>2025.0</v>
      </c>
      <c r="G1520" s="10"/>
    </row>
    <row r="1521">
      <c r="A1521" s="7">
        <v>45735.0</v>
      </c>
      <c r="B1521" s="8" t="s">
        <v>51</v>
      </c>
      <c r="C1521" s="9">
        <v>50.0</v>
      </c>
      <c r="D1521" s="10">
        <v>12.0</v>
      </c>
      <c r="E1521" s="10">
        <v>261.0</v>
      </c>
      <c r="F1521" s="10">
        <v>2025.0</v>
      </c>
      <c r="G1521" s="10"/>
    </row>
    <row r="1522">
      <c r="A1522" s="7">
        <v>45735.0</v>
      </c>
      <c r="B1522" s="8" t="s">
        <v>36</v>
      </c>
      <c r="C1522" s="11">
        <v>1097.0</v>
      </c>
      <c r="D1522" s="10">
        <v>12.0</v>
      </c>
      <c r="E1522" s="10">
        <v>261.0</v>
      </c>
      <c r="F1522" s="10">
        <v>2025.0</v>
      </c>
      <c r="G1522" s="10"/>
    </row>
    <row r="1523">
      <c r="A1523" s="7">
        <v>45735.0</v>
      </c>
      <c r="B1523" s="8" t="s">
        <v>37</v>
      </c>
      <c r="C1523" s="11">
        <v>1270.0</v>
      </c>
      <c r="D1523" s="10">
        <v>12.0</v>
      </c>
      <c r="E1523" s="10">
        <v>261.0</v>
      </c>
      <c r="F1523" s="10">
        <v>2025.0</v>
      </c>
      <c r="G1523" s="10"/>
    </row>
    <row r="1524">
      <c r="A1524" s="7">
        <v>45735.0</v>
      </c>
      <c r="B1524" s="8" t="s">
        <v>49</v>
      </c>
      <c r="C1524" s="9">
        <v>400.0</v>
      </c>
      <c r="D1524" s="10">
        <v>12.0</v>
      </c>
      <c r="E1524" s="10">
        <v>261.0</v>
      </c>
      <c r="F1524" s="10">
        <v>2025.0</v>
      </c>
      <c r="G1524" s="10"/>
    </row>
    <row r="1525">
      <c r="A1525" s="7">
        <v>45735.0</v>
      </c>
      <c r="B1525" s="8" t="s">
        <v>34</v>
      </c>
      <c r="C1525" s="11">
        <v>2618.0</v>
      </c>
      <c r="D1525" s="10">
        <v>12.0</v>
      </c>
      <c r="E1525" s="10">
        <v>261.0</v>
      </c>
      <c r="F1525" s="10">
        <v>2025.0</v>
      </c>
      <c r="G1525" s="10"/>
    </row>
    <row r="1526">
      <c r="A1526" s="7">
        <v>45735.0</v>
      </c>
      <c r="B1526" s="8" t="s">
        <v>44</v>
      </c>
      <c r="C1526" s="9">
        <v>882.0</v>
      </c>
      <c r="D1526" s="10">
        <v>12.0</v>
      </c>
      <c r="E1526" s="10">
        <v>261.0</v>
      </c>
      <c r="F1526" s="10">
        <v>2025.0</v>
      </c>
      <c r="G1526" s="10"/>
    </row>
    <row r="1527">
      <c r="A1527" s="7">
        <v>45735.0</v>
      </c>
      <c r="B1527" s="8" t="s">
        <v>40</v>
      </c>
      <c r="C1527" s="9">
        <v>601.0</v>
      </c>
      <c r="D1527" s="10">
        <v>12.0</v>
      </c>
      <c r="E1527" s="10">
        <v>261.0</v>
      </c>
      <c r="F1527" s="10">
        <v>2025.0</v>
      </c>
      <c r="G1527" s="10"/>
    </row>
    <row r="1528">
      <c r="A1528" s="7">
        <v>45743.0</v>
      </c>
      <c r="B1528" s="8" t="s">
        <v>35</v>
      </c>
      <c r="C1528" s="11">
        <v>1100.0</v>
      </c>
      <c r="D1528" s="10">
        <v>13.0</v>
      </c>
      <c r="E1528" s="10">
        <v>262.0</v>
      </c>
      <c r="F1528" s="10">
        <v>2025.0</v>
      </c>
      <c r="G1528" s="10"/>
    </row>
    <row r="1529">
      <c r="A1529" s="7">
        <v>45743.0</v>
      </c>
      <c r="B1529" s="8" t="s">
        <v>51</v>
      </c>
      <c r="C1529" s="9">
        <v>50.0</v>
      </c>
      <c r="D1529" s="10">
        <v>13.0</v>
      </c>
      <c r="E1529" s="10">
        <v>262.0</v>
      </c>
      <c r="F1529" s="10">
        <v>2025.0</v>
      </c>
      <c r="G1529" s="10"/>
    </row>
    <row r="1530">
      <c r="A1530" s="7">
        <v>45743.0</v>
      </c>
      <c r="B1530" s="8" t="s">
        <v>36</v>
      </c>
      <c r="C1530" s="11">
        <v>1503.0</v>
      </c>
      <c r="D1530" s="10">
        <v>13.0</v>
      </c>
      <c r="E1530" s="10">
        <v>262.0</v>
      </c>
      <c r="F1530" s="10">
        <v>2025.0</v>
      </c>
      <c r="G1530" s="10"/>
    </row>
    <row r="1531">
      <c r="A1531" s="7">
        <v>45743.0</v>
      </c>
      <c r="B1531" s="8" t="s">
        <v>37</v>
      </c>
      <c r="C1531" s="9">
        <v>907.0</v>
      </c>
      <c r="D1531" s="10">
        <v>13.0</v>
      </c>
      <c r="E1531" s="10">
        <v>262.0</v>
      </c>
      <c r="F1531" s="10">
        <v>2025.0</v>
      </c>
      <c r="G1531" s="10"/>
    </row>
    <row r="1532">
      <c r="A1532" s="7">
        <v>45743.0</v>
      </c>
      <c r="B1532" s="8" t="s">
        <v>49</v>
      </c>
      <c r="C1532" s="9">
        <v>256.0</v>
      </c>
      <c r="D1532" s="10">
        <v>13.0</v>
      </c>
      <c r="E1532" s="10">
        <v>262.0</v>
      </c>
      <c r="F1532" s="10">
        <v>2025.0</v>
      </c>
      <c r="G1532" s="10"/>
    </row>
    <row r="1533">
      <c r="A1533" s="7">
        <v>45743.0</v>
      </c>
      <c r="B1533" s="8" t="s">
        <v>34</v>
      </c>
      <c r="C1533" s="11">
        <v>3278.0</v>
      </c>
      <c r="D1533" s="10">
        <v>13.0</v>
      </c>
      <c r="E1533" s="10">
        <v>262.0</v>
      </c>
      <c r="F1533" s="10">
        <v>2025.0</v>
      </c>
      <c r="G1533" s="10"/>
    </row>
    <row r="1534">
      <c r="A1534" s="7">
        <v>45743.0</v>
      </c>
      <c r="B1534" s="8" t="s">
        <v>44</v>
      </c>
      <c r="C1534" s="9">
        <v>884.0</v>
      </c>
      <c r="D1534" s="10">
        <v>13.0</v>
      </c>
      <c r="E1534" s="10">
        <v>262.0</v>
      </c>
      <c r="F1534" s="10">
        <v>2025.0</v>
      </c>
      <c r="G1534" s="10"/>
    </row>
    <row r="1535">
      <c r="A1535" s="7">
        <v>45743.0</v>
      </c>
      <c r="B1535" s="8" t="s">
        <v>40</v>
      </c>
      <c r="C1535" s="9">
        <v>649.0</v>
      </c>
      <c r="D1535" s="10">
        <v>13.0</v>
      </c>
      <c r="E1535" s="10">
        <v>262.0</v>
      </c>
      <c r="F1535" s="10">
        <v>2025.0</v>
      </c>
      <c r="G1535" s="10"/>
    </row>
    <row r="1536">
      <c r="A1536" s="7">
        <v>45749.0</v>
      </c>
      <c r="B1536" s="8" t="s">
        <v>35</v>
      </c>
      <c r="C1536" s="9">
        <v>850.0</v>
      </c>
      <c r="D1536" s="10">
        <v>14.0</v>
      </c>
      <c r="E1536" s="10">
        <v>263.0</v>
      </c>
      <c r="F1536" s="10">
        <v>2025.0</v>
      </c>
      <c r="G1536" s="10"/>
    </row>
    <row r="1537">
      <c r="A1537" s="7">
        <v>45749.0</v>
      </c>
      <c r="B1537" s="8" t="s">
        <v>51</v>
      </c>
      <c r="C1537" s="9">
        <v>50.0</v>
      </c>
      <c r="D1537" s="10">
        <v>14.0</v>
      </c>
      <c r="E1537" s="10">
        <v>263.0</v>
      </c>
      <c r="F1537" s="10">
        <v>2025.0</v>
      </c>
      <c r="G1537" s="10"/>
    </row>
    <row r="1538">
      <c r="A1538" s="7">
        <v>45749.0</v>
      </c>
      <c r="B1538" s="8" t="s">
        <v>36</v>
      </c>
      <c r="C1538" s="11">
        <v>2053.0</v>
      </c>
      <c r="D1538" s="10">
        <v>14.0</v>
      </c>
      <c r="E1538" s="10">
        <v>263.0</v>
      </c>
      <c r="F1538" s="10">
        <v>2025.0</v>
      </c>
      <c r="G1538" s="10"/>
    </row>
    <row r="1539">
      <c r="A1539" s="7">
        <v>45749.0</v>
      </c>
      <c r="B1539" s="8" t="s">
        <v>37</v>
      </c>
      <c r="C1539" s="9">
        <v>878.0</v>
      </c>
      <c r="D1539" s="10">
        <v>14.0</v>
      </c>
      <c r="E1539" s="10">
        <v>263.0</v>
      </c>
      <c r="F1539" s="10">
        <v>2025.0</v>
      </c>
      <c r="G1539" s="10"/>
    </row>
    <row r="1540">
      <c r="A1540" s="7">
        <v>45749.0</v>
      </c>
      <c r="B1540" s="8" t="s">
        <v>49</v>
      </c>
      <c r="C1540" s="9">
        <v>272.0</v>
      </c>
      <c r="D1540" s="10">
        <v>14.0</v>
      </c>
      <c r="E1540" s="10">
        <v>263.0</v>
      </c>
      <c r="F1540" s="10">
        <v>2025.0</v>
      </c>
      <c r="G1540" s="10"/>
    </row>
    <row r="1541">
      <c r="A1541" s="7">
        <v>45749.0</v>
      </c>
      <c r="B1541" s="8" t="s">
        <v>34</v>
      </c>
      <c r="C1541" s="11">
        <v>5518.0</v>
      </c>
      <c r="D1541" s="10">
        <v>14.0</v>
      </c>
      <c r="E1541" s="10">
        <v>263.0</v>
      </c>
      <c r="F1541" s="10">
        <v>2025.0</v>
      </c>
      <c r="G1541" s="10"/>
    </row>
    <row r="1542">
      <c r="A1542" s="7">
        <v>45749.0</v>
      </c>
      <c r="B1542" s="8" t="s">
        <v>44</v>
      </c>
      <c r="C1542" s="11">
        <v>1647.0</v>
      </c>
      <c r="D1542" s="10">
        <v>14.0</v>
      </c>
      <c r="E1542" s="10">
        <v>263.0</v>
      </c>
      <c r="F1542" s="10">
        <v>2025.0</v>
      </c>
      <c r="G1542" s="10"/>
    </row>
    <row r="1543">
      <c r="A1543" s="7">
        <v>45749.0</v>
      </c>
      <c r="B1543" s="8" t="s">
        <v>40</v>
      </c>
      <c r="C1543" s="9">
        <v>839.0</v>
      </c>
      <c r="D1543" s="10">
        <v>14.0</v>
      </c>
      <c r="E1543" s="10">
        <v>263.0</v>
      </c>
      <c r="F1543" s="10">
        <v>2025.0</v>
      </c>
      <c r="G1543" s="10"/>
    </row>
    <row r="1544">
      <c r="A1544" s="7">
        <v>45756.0</v>
      </c>
      <c r="B1544" s="8" t="s">
        <v>35</v>
      </c>
      <c r="C1544" s="9">
        <v>628.0</v>
      </c>
      <c r="D1544" s="10">
        <v>15.0</v>
      </c>
      <c r="E1544" s="10">
        <v>264.0</v>
      </c>
      <c r="F1544" s="10">
        <v>2025.0</v>
      </c>
      <c r="G1544" s="10"/>
    </row>
    <row r="1545">
      <c r="A1545" s="7">
        <v>45756.0</v>
      </c>
      <c r="B1545" s="8" t="s">
        <v>36</v>
      </c>
      <c r="C1545" s="11">
        <v>1226.0</v>
      </c>
      <c r="D1545" s="10">
        <v>15.0</v>
      </c>
      <c r="E1545" s="10">
        <v>264.0</v>
      </c>
      <c r="F1545" s="10">
        <v>2025.0</v>
      </c>
      <c r="G1545" s="10"/>
    </row>
    <row r="1546">
      <c r="A1546" s="7">
        <v>45756.0</v>
      </c>
      <c r="B1546" s="8" t="s">
        <v>37</v>
      </c>
      <c r="C1546" s="9">
        <v>950.0</v>
      </c>
      <c r="D1546" s="10">
        <v>15.0</v>
      </c>
      <c r="E1546" s="10">
        <v>264.0</v>
      </c>
      <c r="F1546" s="10">
        <v>2025.0</v>
      </c>
      <c r="G1546" s="10"/>
    </row>
    <row r="1547">
      <c r="A1547" s="7">
        <v>45756.0</v>
      </c>
      <c r="B1547" s="8" t="s">
        <v>49</v>
      </c>
      <c r="C1547" s="9">
        <v>225.0</v>
      </c>
      <c r="D1547" s="10">
        <v>15.0</v>
      </c>
      <c r="E1547" s="10">
        <v>264.0</v>
      </c>
      <c r="F1547" s="10">
        <v>2025.0</v>
      </c>
      <c r="G1547" s="10"/>
    </row>
    <row r="1548">
      <c r="A1548" s="7">
        <v>45756.0</v>
      </c>
      <c r="B1548" s="8" t="s">
        <v>34</v>
      </c>
      <c r="C1548" s="9">
        <v>153.0</v>
      </c>
      <c r="D1548" s="10">
        <v>15.0</v>
      </c>
      <c r="E1548" s="10">
        <v>264.0</v>
      </c>
      <c r="F1548" s="10">
        <v>2025.0</v>
      </c>
      <c r="G1548" s="10"/>
    </row>
    <row r="1549">
      <c r="A1549" s="7">
        <v>45756.0</v>
      </c>
      <c r="B1549" s="8" t="s">
        <v>44</v>
      </c>
      <c r="C1549" s="9">
        <v>514.0</v>
      </c>
      <c r="D1549" s="10">
        <v>15.0</v>
      </c>
      <c r="E1549" s="10">
        <v>264.0</v>
      </c>
      <c r="F1549" s="10">
        <v>2025.0</v>
      </c>
      <c r="G1549" s="10"/>
    </row>
    <row r="1550">
      <c r="A1550" s="7">
        <v>45756.0</v>
      </c>
      <c r="B1550" s="8" t="s">
        <v>40</v>
      </c>
      <c r="C1550" s="9">
        <v>418.0</v>
      </c>
      <c r="D1550" s="10">
        <v>15.0</v>
      </c>
      <c r="E1550" s="10">
        <v>264.0</v>
      </c>
      <c r="F1550" s="10">
        <v>2025.0</v>
      </c>
      <c r="G1550" s="10"/>
    </row>
    <row r="1551">
      <c r="A1551" s="7">
        <v>45763.0</v>
      </c>
      <c r="B1551" s="8" t="s">
        <v>35</v>
      </c>
      <c r="C1551" s="11">
        <v>1556.0</v>
      </c>
      <c r="D1551" s="10">
        <v>16.0</v>
      </c>
      <c r="E1551" s="10">
        <v>265.0</v>
      </c>
      <c r="F1551" s="10">
        <v>2025.0</v>
      </c>
      <c r="G1551" s="10"/>
    </row>
    <row r="1552">
      <c r="A1552" s="7">
        <v>45763.0</v>
      </c>
      <c r="B1552" s="8" t="s">
        <v>51</v>
      </c>
      <c r="C1552" s="9">
        <v>50.0</v>
      </c>
      <c r="D1552" s="10">
        <v>16.0</v>
      </c>
      <c r="E1552" s="10">
        <v>265.0</v>
      </c>
      <c r="F1552" s="10">
        <v>2025.0</v>
      </c>
      <c r="G1552" s="10"/>
    </row>
    <row r="1553">
      <c r="A1553" s="7">
        <v>45763.0</v>
      </c>
      <c r="B1553" s="8" t="s">
        <v>36</v>
      </c>
      <c r="C1553" s="11">
        <v>2103.0</v>
      </c>
      <c r="D1553" s="10">
        <v>16.0</v>
      </c>
      <c r="E1553" s="10">
        <v>265.0</v>
      </c>
      <c r="F1553" s="10">
        <v>2025.0</v>
      </c>
      <c r="G1553" s="10"/>
    </row>
    <row r="1554">
      <c r="A1554" s="7">
        <v>45763.0</v>
      </c>
      <c r="B1554" s="8" t="s">
        <v>37</v>
      </c>
      <c r="C1554" s="9">
        <v>993.0</v>
      </c>
      <c r="D1554" s="10">
        <v>16.0</v>
      </c>
      <c r="E1554" s="10">
        <v>265.0</v>
      </c>
      <c r="F1554" s="10">
        <v>2025.0</v>
      </c>
      <c r="G1554" s="10"/>
    </row>
    <row r="1555">
      <c r="A1555" s="7">
        <v>45763.0</v>
      </c>
      <c r="B1555" s="8" t="s">
        <v>49</v>
      </c>
      <c r="C1555" s="9">
        <v>175.0</v>
      </c>
      <c r="D1555" s="10">
        <v>16.0</v>
      </c>
      <c r="E1555" s="10">
        <v>265.0</v>
      </c>
      <c r="F1555" s="10">
        <v>2025.0</v>
      </c>
      <c r="G1555" s="10"/>
    </row>
    <row r="1556">
      <c r="A1556" s="7">
        <v>45763.0</v>
      </c>
      <c r="B1556" s="8" t="s">
        <v>34</v>
      </c>
      <c r="C1556" s="11">
        <v>1450.0</v>
      </c>
      <c r="D1556" s="10">
        <v>16.0</v>
      </c>
      <c r="E1556" s="10">
        <v>265.0</v>
      </c>
      <c r="F1556" s="10">
        <v>2025.0</v>
      </c>
      <c r="G1556" s="10"/>
    </row>
    <row r="1557">
      <c r="A1557" s="7">
        <v>45763.0</v>
      </c>
      <c r="B1557" s="8" t="s">
        <v>44</v>
      </c>
      <c r="C1557" s="11">
        <v>1240.0</v>
      </c>
      <c r="D1557" s="10">
        <v>16.0</v>
      </c>
      <c r="E1557" s="10">
        <v>265.0</v>
      </c>
      <c r="F1557" s="10">
        <v>2025.0</v>
      </c>
      <c r="G1557" s="10"/>
    </row>
    <row r="1558">
      <c r="A1558" s="7">
        <v>45763.0</v>
      </c>
      <c r="B1558" s="8" t="s">
        <v>40</v>
      </c>
      <c r="C1558" s="11">
        <v>1123.0</v>
      </c>
      <c r="D1558" s="10">
        <v>16.0</v>
      </c>
      <c r="E1558" s="10">
        <v>265.0</v>
      </c>
      <c r="F1558" s="10">
        <v>2025.0</v>
      </c>
      <c r="G1558" s="10"/>
    </row>
    <row r="1559">
      <c r="A1559" s="7">
        <v>45770.0</v>
      </c>
      <c r="B1559" s="8" t="s">
        <v>35</v>
      </c>
      <c r="C1559" s="9">
        <v>2244.0</v>
      </c>
      <c r="D1559" s="10">
        <v>17.0</v>
      </c>
      <c r="E1559" s="10">
        <v>266.0</v>
      </c>
      <c r="F1559" s="10">
        <v>2025.0</v>
      </c>
      <c r="G1559" s="10"/>
    </row>
    <row r="1560">
      <c r="A1560" s="7">
        <v>45770.0</v>
      </c>
      <c r="B1560" s="8" t="s">
        <v>51</v>
      </c>
      <c r="C1560" s="9">
        <v>50.0</v>
      </c>
      <c r="D1560" s="10">
        <v>17.0</v>
      </c>
      <c r="E1560" s="10">
        <v>266.0</v>
      </c>
      <c r="F1560" s="10">
        <v>2025.0</v>
      </c>
      <c r="G1560" s="10"/>
    </row>
    <row r="1561">
      <c r="A1561" s="7">
        <v>45770.0</v>
      </c>
      <c r="B1561" s="8" t="s">
        <v>36</v>
      </c>
      <c r="C1561" s="9">
        <v>2223.0</v>
      </c>
      <c r="D1561" s="10">
        <v>17.0</v>
      </c>
      <c r="E1561" s="10">
        <v>266.0</v>
      </c>
      <c r="F1561" s="10">
        <v>2025.0</v>
      </c>
      <c r="G1561" s="10"/>
    </row>
    <row r="1562">
      <c r="A1562" s="7">
        <v>45770.0</v>
      </c>
      <c r="B1562" s="8" t="s">
        <v>37</v>
      </c>
      <c r="C1562" s="9">
        <v>1122.0</v>
      </c>
      <c r="D1562" s="10">
        <v>17.0</v>
      </c>
      <c r="E1562" s="10">
        <v>266.0</v>
      </c>
      <c r="F1562" s="10">
        <v>2025.0</v>
      </c>
      <c r="G1562" s="10"/>
    </row>
    <row r="1563">
      <c r="A1563" s="7">
        <v>45770.0</v>
      </c>
      <c r="B1563" s="8" t="s">
        <v>49</v>
      </c>
      <c r="C1563" s="9">
        <v>350.0</v>
      </c>
      <c r="D1563" s="10">
        <v>17.0</v>
      </c>
      <c r="E1563" s="10">
        <v>266.0</v>
      </c>
      <c r="F1563" s="10">
        <v>2025.0</v>
      </c>
      <c r="G1563" s="10"/>
    </row>
    <row r="1564">
      <c r="A1564" s="7">
        <v>45770.0</v>
      </c>
      <c r="B1564" s="8" t="s">
        <v>34</v>
      </c>
      <c r="C1564" s="9">
        <v>3040.0</v>
      </c>
      <c r="D1564" s="10">
        <v>17.0</v>
      </c>
      <c r="E1564" s="10">
        <v>266.0</v>
      </c>
      <c r="F1564" s="10">
        <v>2025.0</v>
      </c>
      <c r="G1564" s="10"/>
    </row>
    <row r="1565">
      <c r="A1565" s="7">
        <v>45770.0</v>
      </c>
      <c r="B1565" s="8" t="s">
        <v>44</v>
      </c>
      <c r="C1565" s="9">
        <v>1344.0</v>
      </c>
      <c r="D1565" s="10">
        <v>17.0</v>
      </c>
      <c r="E1565" s="10">
        <v>266.0</v>
      </c>
      <c r="F1565" s="10">
        <v>2025.0</v>
      </c>
      <c r="G1565" s="10"/>
    </row>
    <row r="1566">
      <c r="A1566" s="7">
        <v>45770.0</v>
      </c>
      <c r="B1566" s="8" t="s">
        <v>40</v>
      </c>
      <c r="C1566" s="9">
        <v>527.0</v>
      </c>
      <c r="D1566" s="10">
        <v>17.0</v>
      </c>
      <c r="E1566" s="10">
        <v>266.0</v>
      </c>
      <c r="F1566" s="10">
        <v>2025.0</v>
      </c>
      <c r="G1566" s="10"/>
    </row>
    <row r="1567">
      <c r="A1567" s="7">
        <v>45777.0</v>
      </c>
      <c r="B1567" s="8" t="s">
        <v>35</v>
      </c>
      <c r="C1567" s="9">
        <v>618.0</v>
      </c>
      <c r="D1567" s="10">
        <v>18.0</v>
      </c>
      <c r="E1567" s="10">
        <v>267.0</v>
      </c>
      <c r="F1567" s="10">
        <v>2025.0</v>
      </c>
      <c r="G1567" s="10"/>
    </row>
    <row r="1568">
      <c r="A1568" s="7">
        <v>45777.0</v>
      </c>
      <c r="B1568" s="8" t="s">
        <v>51</v>
      </c>
      <c r="C1568" s="9">
        <v>50.0</v>
      </c>
      <c r="D1568" s="10">
        <v>18.0</v>
      </c>
      <c r="E1568" s="10">
        <v>267.0</v>
      </c>
      <c r="F1568" s="10">
        <v>2025.0</v>
      </c>
      <c r="G1568" s="10"/>
    </row>
    <row r="1569">
      <c r="A1569" s="7">
        <v>45777.0</v>
      </c>
      <c r="B1569" s="8" t="s">
        <v>36</v>
      </c>
      <c r="C1569" s="11">
        <v>2032.0</v>
      </c>
      <c r="D1569" s="10">
        <v>18.0</v>
      </c>
      <c r="E1569" s="10">
        <v>267.0</v>
      </c>
      <c r="F1569" s="10">
        <v>2025.0</v>
      </c>
      <c r="G1569" s="10"/>
    </row>
    <row r="1570">
      <c r="A1570" s="7">
        <v>45777.0</v>
      </c>
      <c r="B1570" s="8" t="s">
        <v>37</v>
      </c>
      <c r="C1570" s="9">
        <v>915.0</v>
      </c>
      <c r="D1570" s="10">
        <v>18.0</v>
      </c>
      <c r="E1570" s="10">
        <v>267.0</v>
      </c>
      <c r="F1570" s="10">
        <v>2025.0</v>
      </c>
      <c r="G1570" s="10"/>
    </row>
    <row r="1571">
      <c r="A1571" s="7">
        <v>45777.0</v>
      </c>
      <c r="B1571" s="8" t="s">
        <v>49</v>
      </c>
      <c r="C1571" s="9">
        <v>398.0</v>
      </c>
      <c r="D1571" s="10">
        <v>18.0</v>
      </c>
      <c r="E1571" s="10">
        <v>267.0</v>
      </c>
      <c r="F1571" s="10">
        <v>2025.0</v>
      </c>
      <c r="G1571" s="10"/>
    </row>
    <row r="1572">
      <c r="A1572" s="7">
        <v>45777.0</v>
      </c>
      <c r="B1572" s="8" t="s">
        <v>34</v>
      </c>
      <c r="C1572" s="11">
        <v>2050.0</v>
      </c>
      <c r="D1572" s="10">
        <v>18.0</v>
      </c>
      <c r="E1572" s="10">
        <v>267.0</v>
      </c>
      <c r="F1572" s="10">
        <v>2025.0</v>
      </c>
      <c r="G1572" s="10"/>
    </row>
    <row r="1573">
      <c r="A1573" s="7">
        <v>45777.0</v>
      </c>
      <c r="B1573" s="8" t="s">
        <v>44</v>
      </c>
      <c r="C1573" s="11">
        <v>1198.0</v>
      </c>
      <c r="D1573" s="10">
        <v>18.0</v>
      </c>
      <c r="E1573" s="10">
        <v>267.0</v>
      </c>
      <c r="F1573" s="10">
        <v>2025.0</v>
      </c>
      <c r="G1573" s="10"/>
    </row>
    <row r="1574">
      <c r="A1574" s="7">
        <v>45777.0</v>
      </c>
      <c r="B1574" s="8" t="s">
        <v>40</v>
      </c>
      <c r="C1574" s="9">
        <v>744.0</v>
      </c>
      <c r="D1574" s="10">
        <v>18.0</v>
      </c>
      <c r="E1574" s="10">
        <v>267.0</v>
      </c>
      <c r="F1574" s="10">
        <v>2025.0</v>
      </c>
      <c r="G1574" s="10"/>
    </row>
    <row r="1575">
      <c r="A1575" s="7">
        <v>45784.0</v>
      </c>
      <c r="B1575" s="8" t="s">
        <v>35</v>
      </c>
      <c r="C1575" s="11">
        <v>2396.0</v>
      </c>
      <c r="D1575" s="10">
        <v>19.0</v>
      </c>
      <c r="E1575" s="10">
        <v>268.0</v>
      </c>
      <c r="F1575" s="10">
        <v>2025.0</v>
      </c>
      <c r="G1575" s="10"/>
    </row>
    <row r="1576">
      <c r="A1576" s="7">
        <v>45784.0</v>
      </c>
      <c r="B1576" s="8" t="s">
        <v>51</v>
      </c>
      <c r="C1576" s="9">
        <v>50.0</v>
      </c>
      <c r="D1576" s="10">
        <v>19.0</v>
      </c>
      <c r="E1576" s="10">
        <v>268.0</v>
      </c>
      <c r="F1576" s="10">
        <v>2025.0</v>
      </c>
      <c r="G1576" s="10"/>
    </row>
    <row r="1577">
      <c r="A1577" s="7">
        <v>45784.0</v>
      </c>
      <c r="B1577" s="8" t="s">
        <v>36</v>
      </c>
      <c r="C1577" s="11">
        <v>2607.0</v>
      </c>
      <c r="D1577" s="10">
        <v>19.0</v>
      </c>
      <c r="E1577" s="10">
        <v>268.0</v>
      </c>
      <c r="F1577" s="10">
        <v>2025.0</v>
      </c>
      <c r="G1577" s="10"/>
    </row>
    <row r="1578">
      <c r="A1578" s="7">
        <v>45784.0</v>
      </c>
      <c r="B1578" s="8" t="s">
        <v>37</v>
      </c>
      <c r="C1578" s="11">
        <v>1052.0</v>
      </c>
      <c r="D1578" s="10">
        <v>19.0</v>
      </c>
      <c r="E1578" s="10">
        <v>268.0</v>
      </c>
      <c r="F1578" s="10">
        <v>2025.0</v>
      </c>
      <c r="G1578" s="10"/>
    </row>
    <row r="1579">
      <c r="A1579" s="7">
        <v>45784.0</v>
      </c>
      <c r="B1579" s="8" t="s">
        <v>49</v>
      </c>
      <c r="C1579" s="9">
        <v>262.0</v>
      </c>
      <c r="D1579" s="10">
        <v>19.0</v>
      </c>
      <c r="E1579" s="10">
        <v>268.0</v>
      </c>
      <c r="F1579" s="10">
        <v>2025.0</v>
      </c>
      <c r="G1579" s="10"/>
    </row>
    <row r="1580">
      <c r="A1580" s="7">
        <v>45784.0</v>
      </c>
      <c r="B1580" s="8" t="s">
        <v>34</v>
      </c>
      <c r="C1580" s="9">
        <v>800.0</v>
      </c>
      <c r="D1580" s="10">
        <v>19.0</v>
      </c>
      <c r="E1580" s="10">
        <v>268.0</v>
      </c>
      <c r="F1580" s="10">
        <v>2025.0</v>
      </c>
      <c r="G1580" s="10"/>
    </row>
    <row r="1581">
      <c r="A1581" s="7">
        <v>45784.0</v>
      </c>
      <c r="B1581" s="8" t="s">
        <v>44</v>
      </c>
      <c r="C1581" s="9">
        <v>853.0</v>
      </c>
      <c r="D1581" s="10">
        <v>19.0</v>
      </c>
      <c r="E1581" s="10">
        <v>268.0</v>
      </c>
      <c r="F1581" s="10">
        <v>2025.0</v>
      </c>
      <c r="G1581" s="10"/>
    </row>
    <row r="1582">
      <c r="A1582" s="7">
        <v>45784.0</v>
      </c>
      <c r="B1582" s="8" t="s">
        <v>40</v>
      </c>
      <c r="C1582" s="9">
        <v>599.0</v>
      </c>
      <c r="D1582" s="10">
        <v>19.0</v>
      </c>
      <c r="E1582" s="10">
        <v>268.0</v>
      </c>
      <c r="F1582" s="10">
        <v>2025.0</v>
      </c>
      <c r="G1582" s="10"/>
    </row>
    <row r="1583">
      <c r="A1583" s="7">
        <v>45791.0</v>
      </c>
      <c r="B1583" s="8" t="s">
        <v>35</v>
      </c>
      <c r="C1583" s="11">
        <v>2520.0</v>
      </c>
      <c r="D1583" s="10">
        <v>20.0</v>
      </c>
      <c r="E1583" s="10">
        <v>269.0</v>
      </c>
      <c r="F1583" s="10">
        <v>2025.0</v>
      </c>
      <c r="G1583" s="10"/>
    </row>
    <row r="1584">
      <c r="A1584" s="7">
        <v>45791.0</v>
      </c>
      <c r="B1584" s="8" t="s">
        <v>51</v>
      </c>
      <c r="C1584" s="9">
        <v>50.0</v>
      </c>
      <c r="D1584" s="10">
        <v>20.0</v>
      </c>
      <c r="E1584" s="10">
        <v>269.0</v>
      </c>
      <c r="F1584" s="10">
        <v>2025.0</v>
      </c>
      <c r="G1584" s="10"/>
    </row>
    <row r="1585">
      <c r="A1585" s="7">
        <v>45791.0</v>
      </c>
      <c r="B1585" s="8" t="s">
        <v>36</v>
      </c>
      <c r="C1585" s="11">
        <v>2316.0</v>
      </c>
      <c r="D1585" s="10">
        <v>20.0</v>
      </c>
      <c r="E1585" s="10">
        <v>269.0</v>
      </c>
      <c r="F1585" s="10">
        <v>2025.0</v>
      </c>
      <c r="G1585" s="10"/>
    </row>
    <row r="1586">
      <c r="A1586" s="7">
        <v>45791.0</v>
      </c>
      <c r="B1586" s="8" t="s">
        <v>37</v>
      </c>
      <c r="C1586" s="9">
        <v>726.0</v>
      </c>
      <c r="D1586" s="10">
        <v>20.0</v>
      </c>
      <c r="E1586" s="10">
        <v>269.0</v>
      </c>
      <c r="F1586" s="10">
        <v>2025.0</v>
      </c>
      <c r="G1586" s="10"/>
    </row>
    <row r="1587">
      <c r="A1587" s="7">
        <v>45791.0</v>
      </c>
      <c r="B1587" s="8" t="s">
        <v>49</v>
      </c>
      <c r="C1587" s="9">
        <v>298.0</v>
      </c>
      <c r="D1587" s="10">
        <v>20.0</v>
      </c>
      <c r="E1587" s="10">
        <v>269.0</v>
      </c>
      <c r="F1587" s="10">
        <v>2025.0</v>
      </c>
      <c r="G1587" s="10"/>
    </row>
    <row r="1588">
      <c r="A1588" s="7">
        <v>45791.0</v>
      </c>
      <c r="B1588" s="8" t="s">
        <v>34</v>
      </c>
      <c r="C1588" s="11">
        <v>1800.0</v>
      </c>
      <c r="D1588" s="10">
        <v>20.0</v>
      </c>
      <c r="E1588" s="10">
        <v>269.0</v>
      </c>
      <c r="F1588" s="10">
        <v>2025.0</v>
      </c>
      <c r="G1588" s="10"/>
    </row>
    <row r="1589">
      <c r="A1589" s="7">
        <v>45791.0</v>
      </c>
      <c r="B1589" s="8" t="s">
        <v>44</v>
      </c>
      <c r="C1589" s="9">
        <v>921.0</v>
      </c>
      <c r="D1589" s="10">
        <v>20.0</v>
      </c>
      <c r="E1589" s="10">
        <v>269.0</v>
      </c>
      <c r="F1589" s="10">
        <v>2025.0</v>
      </c>
      <c r="G1589" s="10"/>
    </row>
    <row r="1590">
      <c r="A1590" s="7">
        <v>45791.0</v>
      </c>
      <c r="B1590" s="8" t="s">
        <v>40</v>
      </c>
      <c r="C1590" s="9">
        <v>631.0</v>
      </c>
      <c r="D1590" s="10">
        <v>20.0</v>
      </c>
      <c r="E1590" s="10">
        <v>269.0</v>
      </c>
      <c r="F1590" s="10">
        <v>2025.0</v>
      </c>
      <c r="G1590" s="10"/>
    </row>
    <row r="1591">
      <c r="A1591" s="7">
        <v>45798.0</v>
      </c>
      <c r="B1591" s="8" t="s">
        <v>35</v>
      </c>
      <c r="C1591" s="9">
        <v>950.0</v>
      </c>
      <c r="D1591" s="10">
        <v>21.0</v>
      </c>
      <c r="E1591" s="10">
        <v>270.0</v>
      </c>
      <c r="F1591" s="10">
        <v>2025.0</v>
      </c>
      <c r="G1591" s="10"/>
    </row>
    <row r="1592">
      <c r="A1592" s="7">
        <v>45798.0</v>
      </c>
      <c r="B1592" s="8" t="s">
        <v>51</v>
      </c>
      <c r="C1592" s="9">
        <v>50.0</v>
      </c>
      <c r="D1592" s="10">
        <v>21.0</v>
      </c>
      <c r="E1592" s="10">
        <v>270.0</v>
      </c>
      <c r="F1592" s="10">
        <v>2025.0</v>
      </c>
      <c r="G1592" s="10"/>
    </row>
    <row r="1593">
      <c r="A1593" s="7">
        <v>45798.0</v>
      </c>
      <c r="B1593" s="8" t="s">
        <v>36</v>
      </c>
      <c r="C1593" s="11">
        <v>1783.0</v>
      </c>
      <c r="D1593" s="10">
        <v>21.0</v>
      </c>
      <c r="E1593" s="10">
        <v>270.0</v>
      </c>
      <c r="F1593" s="10">
        <v>2025.0</v>
      </c>
      <c r="G1593" s="10"/>
    </row>
    <row r="1594">
      <c r="A1594" s="7">
        <v>45798.0</v>
      </c>
      <c r="B1594" s="8" t="s">
        <v>37</v>
      </c>
      <c r="C1594" s="11">
        <v>1403.0</v>
      </c>
      <c r="D1594" s="10">
        <v>21.0</v>
      </c>
      <c r="E1594" s="10">
        <v>270.0</v>
      </c>
      <c r="F1594" s="10">
        <v>2025.0</v>
      </c>
      <c r="G1594" s="10"/>
    </row>
    <row r="1595">
      <c r="A1595" s="7">
        <v>45798.0</v>
      </c>
      <c r="B1595" s="8" t="s">
        <v>49</v>
      </c>
      <c r="C1595" s="9">
        <v>285.0</v>
      </c>
      <c r="D1595" s="10">
        <v>21.0</v>
      </c>
      <c r="E1595" s="10">
        <v>270.0</v>
      </c>
      <c r="F1595" s="10">
        <v>2025.0</v>
      </c>
      <c r="G1595" s="10"/>
    </row>
    <row r="1596">
      <c r="A1596" s="7">
        <v>45798.0</v>
      </c>
      <c r="B1596" s="8" t="s">
        <v>34</v>
      </c>
      <c r="C1596" s="11">
        <v>4610.0</v>
      </c>
      <c r="D1596" s="10">
        <v>21.0</v>
      </c>
      <c r="E1596" s="10">
        <v>270.0</v>
      </c>
      <c r="F1596" s="10">
        <v>2025.0</v>
      </c>
      <c r="G1596" s="10"/>
    </row>
    <row r="1597">
      <c r="A1597" s="7">
        <v>45798.0</v>
      </c>
      <c r="B1597" s="8" t="s">
        <v>44</v>
      </c>
      <c r="C1597" s="9">
        <v>516.0</v>
      </c>
      <c r="D1597" s="10">
        <v>21.0</v>
      </c>
      <c r="E1597" s="10">
        <v>270.0</v>
      </c>
      <c r="F1597" s="10">
        <v>2025.0</v>
      </c>
      <c r="G1597" s="10"/>
    </row>
    <row r="1598">
      <c r="A1598" s="7">
        <v>45798.0</v>
      </c>
      <c r="B1598" s="8" t="s">
        <v>40</v>
      </c>
      <c r="C1598" s="9">
        <v>644.0</v>
      </c>
      <c r="D1598" s="10">
        <v>21.0</v>
      </c>
      <c r="E1598" s="10">
        <v>270.0</v>
      </c>
      <c r="F1598" s="10">
        <v>2025.0</v>
      </c>
      <c r="G1598" s="10"/>
    </row>
    <row r="1599">
      <c r="A1599" s="7">
        <v>45806.0</v>
      </c>
      <c r="B1599" s="8" t="s">
        <v>35</v>
      </c>
      <c r="C1599" s="9">
        <v>768.0</v>
      </c>
      <c r="D1599" s="10">
        <v>22.0</v>
      </c>
      <c r="E1599" s="10">
        <v>271.0</v>
      </c>
      <c r="F1599" s="10">
        <v>2025.0</v>
      </c>
      <c r="G1599" s="10"/>
    </row>
    <row r="1600">
      <c r="A1600" s="7">
        <v>45806.0</v>
      </c>
      <c r="B1600" s="8" t="s">
        <v>51</v>
      </c>
      <c r="C1600" s="9">
        <v>250.0</v>
      </c>
      <c r="D1600" s="10">
        <v>22.0</v>
      </c>
      <c r="E1600" s="10">
        <v>271.0</v>
      </c>
      <c r="F1600" s="10">
        <v>2025.0</v>
      </c>
      <c r="G1600" s="10"/>
    </row>
    <row r="1601">
      <c r="A1601" s="7">
        <v>45806.0</v>
      </c>
      <c r="B1601" s="8" t="s">
        <v>36</v>
      </c>
      <c r="C1601" s="11">
        <v>1066.0</v>
      </c>
      <c r="D1601" s="10">
        <v>22.0</v>
      </c>
      <c r="E1601" s="10">
        <v>271.0</v>
      </c>
      <c r="F1601" s="10">
        <v>2025.0</v>
      </c>
      <c r="G1601" s="10"/>
    </row>
    <row r="1602">
      <c r="A1602" s="7">
        <v>45806.0</v>
      </c>
      <c r="B1602" s="8" t="s">
        <v>37</v>
      </c>
      <c r="C1602" s="9">
        <v>901.0</v>
      </c>
      <c r="D1602" s="10">
        <v>22.0</v>
      </c>
      <c r="E1602" s="10">
        <v>271.0</v>
      </c>
      <c r="F1602" s="10">
        <v>2025.0</v>
      </c>
      <c r="G1602" s="10"/>
    </row>
    <row r="1603">
      <c r="A1603" s="7">
        <v>45806.0</v>
      </c>
      <c r="B1603" s="8" t="s">
        <v>49</v>
      </c>
      <c r="C1603" s="9">
        <v>275.0</v>
      </c>
      <c r="D1603" s="10">
        <v>22.0</v>
      </c>
      <c r="E1603" s="10">
        <v>271.0</v>
      </c>
      <c r="F1603" s="10">
        <v>2025.0</v>
      </c>
      <c r="G1603" s="10"/>
    </row>
    <row r="1604">
      <c r="A1604" s="7">
        <v>45806.0</v>
      </c>
      <c r="B1604" s="8" t="s">
        <v>34</v>
      </c>
      <c r="C1604" s="9">
        <v>100.0</v>
      </c>
      <c r="D1604" s="10">
        <v>22.0</v>
      </c>
      <c r="E1604" s="10">
        <v>271.0</v>
      </c>
      <c r="F1604" s="10">
        <v>2025.0</v>
      </c>
      <c r="G1604" s="10"/>
    </row>
    <row r="1605">
      <c r="A1605" s="7">
        <v>45806.0</v>
      </c>
      <c r="B1605" s="8" t="s">
        <v>44</v>
      </c>
      <c r="C1605" s="9">
        <v>832.0</v>
      </c>
      <c r="D1605" s="10">
        <v>22.0</v>
      </c>
      <c r="E1605" s="10">
        <v>271.0</v>
      </c>
      <c r="F1605" s="10">
        <v>2025.0</v>
      </c>
      <c r="G1605" s="10"/>
    </row>
    <row r="1606">
      <c r="A1606" s="7">
        <v>45806.0</v>
      </c>
      <c r="B1606" s="8" t="s">
        <v>40</v>
      </c>
      <c r="C1606" s="9">
        <v>529.0</v>
      </c>
      <c r="D1606" s="10">
        <v>22.0</v>
      </c>
      <c r="E1606" s="10">
        <v>271.0</v>
      </c>
      <c r="F1606" s="10">
        <v>2025.0</v>
      </c>
      <c r="G1606" s="10"/>
    </row>
    <row r="1607">
      <c r="A1607" s="7">
        <v>45812.0</v>
      </c>
      <c r="B1607" s="8" t="s">
        <v>35</v>
      </c>
      <c r="C1607" s="16">
        <v>2767.0</v>
      </c>
      <c r="D1607" s="10">
        <v>23.0</v>
      </c>
      <c r="E1607" s="10">
        <v>272.0</v>
      </c>
      <c r="F1607" s="10">
        <v>2025.0</v>
      </c>
      <c r="G1607" s="10"/>
    </row>
    <row r="1608">
      <c r="A1608" s="7">
        <v>45812.0</v>
      </c>
      <c r="B1608" s="8" t="s">
        <v>51</v>
      </c>
      <c r="C1608" s="17">
        <v>250.0</v>
      </c>
      <c r="D1608" s="10">
        <v>23.0</v>
      </c>
      <c r="E1608" s="10">
        <v>272.0</v>
      </c>
      <c r="F1608" s="10">
        <v>2025.0</v>
      </c>
      <c r="G1608" s="10"/>
    </row>
    <row r="1609">
      <c r="A1609" s="7">
        <v>45812.0</v>
      </c>
      <c r="B1609" s="8" t="s">
        <v>36</v>
      </c>
      <c r="C1609" s="16">
        <v>1188.0</v>
      </c>
      <c r="D1609" s="10">
        <v>23.0</v>
      </c>
      <c r="E1609" s="10">
        <v>272.0</v>
      </c>
      <c r="F1609" s="10">
        <v>2025.0</v>
      </c>
      <c r="G1609" s="10"/>
    </row>
    <row r="1610">
      <c r="A1610" s="7">
        <v>45812.0</v>
      </c>
      <c r="B1610" s="8" t="s">
        <v>37</v>
      </c>
      <c r="C1610" s="16">
        <v>2059.0</v>
      </c>
      <c r="D1610" s="10">
        <v>23.0</v>
      </c>
      <c r="E1610" s="10">
        <v>272.0</v>
      </c>
      <c r="F1610" s="10">
        <v>2025.0</v>
      </c>
      <c r="G1610" s="10"/>
    </row>
    <row r="1611">
      <c r="A1611" s="7">
        <v>45812.0</v>
      </c>
      <c r="B1611" s="8" t="s">
        <v>49</v>
      </c>
      <c r="C1611" s="17">
        <v>689.0</v>
      </c>
      <c r="D1611" s="10">
        <v>23.0</v>
      </c>
      <c r="E1611" s="10">
        <v>272.0</v>
      </c>
      <c r="F1611" s="10">
        <v>2025.0</v>
      </c>
      <c r="G1611" s="10"/>
    </row>
    <row r="1612">
      <c r="A1612" s="7">
        <v>45812.0</v>
      </c>
      <c r="B1612" s="8" t="s">
        <v>34</v>
      </c>
      <c r="C1612" s="17">
        <v>550.0</v>
      </c>
      <c r="D1612" s="10">
        <v>23.0</v>
      </c>
      <c r="E1612" s="10">
        <v>272.0</v>
      </c>
      <c r="F1612" s="10">
        <v>2025.0</v>
      </c>
      <c r="G1612" s="10"/>
    </row>
    <row r="1613">
      <c r="A1613" s="7">
        <v>45812.0</v>
      </c>
      <c r="B1613" s="8" t="s">
        <v>44</v>
      </c>
      <c r="C1613" s="16">
        <v>1221.0</v>
      </c>
      <c r="D1613" s="10">
        <v>23.0</v>
      </c>
      <c r="E1613" s="10">
        <v>272.0</v>
      </c>
      <c r="F1613" s="10">
        <v>2025.0</v>
      </c>
      <c r="G1613" s="10"/>
    </row>
    <row r="1614">
      <c r="A1614" s="7">
        <v>45812.0</v>
      </c>
      <c r="B1614" s="8" t="s">
        <v>40</v>
      </c>
      <c r="C1614" s="17">
        <v>134.0</v>
      </c>
      <c r="D1614" s="10">
        <v>23.0</v>
      </c>
      <c r="E1614" s="10">
        <v>272.0</v>
      </c>
      <c r="F1614" s="10">
        <v>2025.0</v>
      </c>
      <c r="G1614" s="10"/>
    </row>
    <row r="1615">
      <c r="A1615" s="7">
        <v>45819.0</v>
      </c>
      <c r="B1615" s="12" t="s">
        <v>35</v>
      </c>
      <c r="C1615" s="16">
        <v>2964.0</v>
      </c>
      <c r="D1615" s="10">
        <v>24.0</v>
      </c>
      <c r="E1615" s="10">
        <v>273.0</v>
      </c>
      <c r="F1615" s="10">
        <v>2025.0</v>
      </c>
      <c r="G1615" s="10"/>
    </row>
    <row r="1616">
      <c r="A1616" s="7">
        <v>45819.0</v>
      </c>
      <c r="B1616" s="12" t="s">
        <v>51</v>
      </c>
      <c r="C1616" s="17">
        <v>300.0</v>
      </c>
      <c r="D1616" s="10">
        <v>24.0</v>
      </c>
      <c r="E1616" s="10">
        <v>273.0</v>
      </c>
      <c r="F1616" s="10">
        <v>2025.0</v>
      </c>
      <c r="G1616" s="10"/>
    </row>
    <row r="1617">
      <c r="A1617" s="7">
        <v>45819.0</v>
      </c>
      <c r="B1617" s="12" t="s">
        <v>36</v>
      </c>
      <c r="C1617" s="16">
        <v>1251.0</v>
      </c>
      <c r="D1617" s="10">
        <v>24.0</v>
      </c>
      <c r="E1617" s="10">
        <v>273.0</v>
      </c>
      <c r="F1617" s="10">
        <v>2025.0</v>
      </c>
      <c r="G1617" s="10"/>
    </row>
    <row r="1618">
      <c r="A1618" s="7">
        <v>45819.0</v>
      </c>
      <c r="B1618" s="12" t="s">
        <v>37</v>
      </c>
      <c r="C1618" s="16">
        <v>1186.0</v>
      </c>
      <c r="D1618" s="10">
        <v>24.0</v>
      </c>
      <c r="E1618" s="10">
        <v>273.0</v>
      </c>
      <c r="F1618" s="10">
        <v>2025.0</v>
      </c>
      <c r="G1618" s="10"/>
    </row>
    <row r="1619">
      <c r="A1619" s="7">
        <v>45819.0</v>
      </c>
      <c r="B1619" s="12" t="s">
        <v>49</v>
      </c>
      <c r="C1619" s="17">
        <v>258.0</v>
      </c>
      <c r="D1619" s="10">
        <v>24.0</v>
      </c>
      <c r="E1619" s="10">
        <v>273.0</v>
      </c>
      <c r="F1619" s="10">
        <v>2025.0</v>
      </c>
      <c r="G1619" s="10"/>
    </row>
    <row r="1620">
      <c r="A1620" s="7">
        <v>45819.0</v>
      </c>
      <c r="B1620" s="12" t="s">
        <v>34</v>
      </c>
      <c r="C1620" s="16">
        <v>4259.0</v>
      </c>
      <c r="D1620" s="10">
        <v>24.0</v>
      </c>
      <c r="E1620" s="10">
        <v>273.0</v>
      </c>
      <c r="F1620" s="10">
        <v>2025.0</v>
      </c>
      <c r="G1620" s="10"/>
    </row>
    <row r="1621">
      <c r="A1621" s="7">
        <v>45819.0</v>
      </c>
      <c r="B1621" s="12" t="s">
        <v>44</v>
      </c>
      <c r="C1621" s="16">
        <v>1047.0</v>
      </c>
      <c r="D1621" s="10">
        <v>24.0</v>
      </c>
      <c r="E1621" s="10">
        <v>273.0</v>
      </c>
      <c r="F1621" s="10">
        <v>2025.0</v>
      </c>
      <c r="G1621" s="10"/>
    </row>
    <row r="1622">
      <c r="A1622" s="7">
        <v>45819.0</v>
      </c>
      <c r="B1622" s="12" t="s">
        <v>40</v>
      </c>
      <c r="C1622" s="17">
        <v>203.0</v>
      </c>
      <c r="D1622" s="10">
        <v>24.0</v>
      </c>
      <c r="E1622" s="10">
        <v>273.0</v>
      </c>
      <c r="F1622" s="10">
        <v>2025.0</v>
      </c>
      <c r="G1622" s="10"/>
    </row>
    <row r="1623">
      <c r="A1623" s="7">
        <v>45827.0</v>
      </c>
      <c r="B1623" s="12" t="s">
        <v>35</v>
      </c>
      <c r="C1623" s="18">
        <v>2442.0</v>
      </c>
      <c r="D1623" s="10">
        <v>25.0</v>
      </c>
      <c r="E1623" s="10">
        <v>274.0</v>
      </c>
      <c r="F1623" s="10">
        <v>2025.0</v>
      </c>
      <c r="G1623" s="10"/>
    </row>
    <row r="1624">
      <c r="A1624" s="7">
        <v>45827.0</v>
      </c>
      <c r="B1624" s="12" t="s">
        <v>51</v>
      </c>
      <c r="C1624" s="16">
        <v>275.0</v>
      </c>
      <c r="D1624" s="10">
        <v>25.0</v>
      </c>
      <c r="E1624" s="10">
        <v>274.0</v>
      </c>
      <c r="F1624" s="10">
        <v>2025.0</v>
      </c>
      <c r="G1624" s="10"/>
    </row>
    <row r="1625">
      <c r="A1625" s="7">
        <v>45827.0</v>
      </c>
      <c r="B1625" s="12" t="s">
        <v>36</v>
      </c>
      <c r="C1625" s="18">
        <v>1889.0</v>
      </c>
      <c r="D1625" s="10">
        <v>25.0</v>
      </c>
      <c r="E1625" s="10">
        <v>274.0</v>
      </c>
      <c r="F1625" s="10">
        <v>2025.0</v>
      </c>
      <c r="G1625" s="10"/>
    </row>
    <row r="1626">
      <c r="A1626" s="7">
        <v>45827.0</v>
      </c>
      <c r="B1626" s="12" t="s">
        <v>37</v>
      </c>
      <c r="C1626" s="16">
        <v>2774.0</v>
      </c>
      <c r="D1626" s="10">
        <v>25.0</v>
      </c>
      <c r="E1626" s="10">
        <v>274.0</v>
      </c>
      <c r="F1626" s="10">
        <v>2025.0</v>
      </c>
      <c r="G1626" s="10"/>
    </row>
    <row r="1627">
      <c r="A1627" s="7">
        <v>45827.0</v>
      </c>
      <c r="B1627" s="12" t="s">
        <v>49</v>
      </c>
      <c r="C1627" s="18">
        <v>200.0</v>
      </c>
      <c r="D1627" s="10">
        <v>25.0</v>
      </c>
      <c r="E1627" s="10">
        <v>274.0</v>
      </c>
      <c r="F1627" s="10">
        <v>2025.0</v>
      </c>
      <c r="G1627" s="10"/>
    </row>
    <row r="1628">
      <c r="A1628" s="7">
        <v>45827.0</v>
      </c>
      <c r="B1628" s="12" t="s">
        <v>34</v>
      </c>
      <c r="C1628" s="18">
        <v>2950.0</v>
      </c>
      <c r="D1628" s="10">
        <v>25.0</v>
      </c>
      <c r="E1628" s="10">
        <v>274.0</v>
      </c>
      <c r="F1628" s="10">
        <v>2025.0</v>
      </c>
      <c r="G1628" s="10"/>
    </row>
    <row r="1629">
      <c r="A1629" s="7">
        <v>45827.0</v>
      </c>
      <c r="B1629" s="12" t="s">
        <v>44</v>
      </c>
      <c r="C1629" s="18">
        <v>1312.0</v>
      </c>
      <c r="D1629" s="10">
        <v>25.0</v>
      </c>
      <c r="E1629" s="10">
        <v>274.0</v>
      </c>
      <c r="F1629" s="10">
        <v>2025.0</v>
      </c>
      <c r="G1629" s="10"/>
    </row>
    <row r="1630">
      <c r="A1630" s="7">
        <v>45827.0</v>
      </c>
      <c r="B1630" s="12" t="s">
        <v>40</v>
      </c>
      <c r="C1630" s="18">
        <v>856.0</v>
      </c>
      <c r="D1630" s="10">
        <v>25.0</v>
      </c>
      <c r="E1630" s="10">
        <v>274.0</v>
      </c>
      <c r="F1630" s="10">
        <v>2025.0</v>
      </c>
      <c r="G1630" s="10"/>
    </row>
    <row r="1631">
      <c r="A1631" s="7">
        <v>45834.0</v>
      </c>
      <c r="B1631" s="12" t="s">
        <v>35</v>
      </c>
      <c r="C1631" s="17">
        <v>2466.0</v>
      </c>
      <c r="D1631" s="10">
        <v>26.0</v>
      </c>
      <c r="E1631" s="10">
        <v>275.0</v>
      </c>
      <c r="F1631" s="10">
        <v>2025.0</v>
      </c>
      <c r="G1631" s="10"/>
    </row>
    <row r="1632">
      <c r="A1632" s="7">
        <v>45834.0</v>
      </c>
      <c r="B1632" s="12" t="s">
        <v>51</v>
      </c>
      <c r="C1632" s="17">
        <v>300.0</v>
      </c>
      <c r="D1632" s="10">
        <v>26.0</v>
      </c>
      <c r="E1632" s="10">
        <v>275.0</v>
      </c>
      <c r="F1632" s="10">
        <v>2025.0</v>
      </c>
      <c r="G1632" s="10"/>
    </row>
    <row r="1633">
      <c r="A1633" s="7">
        <v>45834.0</v>
      </c>
      <c r="B1633" s="12" t="s">
        <v>36</v>
      </c>
      <c r="C1633" s="16">
        <v>2991.0</v>
      </c>
      <c r="D1633" s="10">
        <v>26.0</v>
      </c>
      <c r="E1633" s="10">
        <v>275.0</v>
      </c>
      <c r="F1633" s="10">
        <v>2025.0</v>
      </c>
      <c r="G1633" s="10"/>
    </row>
    <row r="1634">
      <c r="A1634" s="7">
        <v>45834.0</v>
      </c>
      <c r="B1634" s="12" t="s">
        <v>37</v>
      </c>
      <c r="C1634" s="17">
        <v>1960.0</v>
      </c>
      <c r="D1634" s="10">
        <v>26.0</v>
      </c>
      <c r="E1634" s="10">
        <v>275.0</v>
      </c>
      <c r="F1634" s="10">
        <v>2025.0</v>
      </c>
      <c r="G1634" s="10"/>
    </row>
    <row r="1635">
      <c r="A1635" s="7">
        <v>45834.0</v>
      </c>
      <c r="B1635" s="12" t="s">
        <v>49</v>
      </c>
      <c r="C1635" s="18">
        <v>300.0</v>
      </c>
      <c r="D1635" s="10">
        <v>26.0</v>
      </c>
      <c r="E1635" s="10">
        <v>275.0</v>
      </c>
      <c r="F1635" s="10">
        <v>2025.0</v>
      </c>
      <c r="G1635" s="10"/>
    </row>
    <row r="1636">
      <c r="A1636" s="7">
        <v>45834.0</v>
      </c>
      <c r="B1636" s="12" t="s">
        <v>50</v>
      </c>
      <c r="C1636" s="9">
        <v>1312.0</v>
      </c>
      <c r="D1636" s="10">
        <v>26.0</v>
      </c>
      <c r="E1636" s="10">
        <v>275.0</v>
      </c>
      <c r="F1636" s="10">
        <v>2025.0</v>
      </c>
      <c r="G1636" s="19" t="s">
        <v>53</v>
      </c>
    </row>
    <row r="1637">
      <c r="A1637" s="7">
        <v>45834.0</v>
      </c>
      <c r="B1637" s="12" t="s">
        <v>34</v>
      </c>
      <c r="C1637" s="17">
        <v>3260.0</v>
      </c>
      <c r="D1637" s="10">
        <v>26.0</v>
      </c>
      <c r="E1637" s="10">
        <v>275.0</v>
      </c>
      <c r="F1637" s="10">
        <v>2025.0</v>
      </c>
      <c r="G1637" s="10"/>
    </row>
    <row r="1638">
      <c r="A1638" s="7">
        <v>45834.0</v>
      </c>
      <c r="B1638" s="12" t="s">
        <v>44</v>
      </c>
      <c r="C1638" s="16">
        <v>1047.0</v>
      </c>
      <c r="D1638" s="10">
        <v>26.0</v>
      </c>
      <c r="E1638" s="10">
        <v>275.0</v>
      </c>
      <c r="F1638" s="10">
        <v>2025.0</v>
      </c>
      <c r="G1638" s="20"/>
    </row>
    <row r="1639">
      <c r="A1639" s="7">
        <v>45834.0</v>
      </c>
      <c r="B1639" s="12" t="s">
        <v>40</v>
      </c>
      <c r="C1639" s="17">
        <v>667.0</v>
      </c>
      <c r="D1639" s="10">
        <v>26.0</v>
      </c>
      <c r="E1639" s="10">
        <v>275.0</v>
      </c>
      <c r="F1639" s="10">
        <v>2025.0</v>
      </c>
      <c r="G1639" s="10"/>
    </row>
    <row r="1640">
      <c r="A1640" s="7">
        <v>45847.0</v>
      </c>
      <c r="B1640" s="12" t="s">
        <v>35</v>
      </c>
      <c r="C1640" s="11">
        <v>1185.0</v>
      </c>
      <c r="D1640" s="10">
        <v>28.0</v>
      </c>
      <c r="E1640" s="10">
        <v>277.0</v>
      </c>
      <c r="F1640" s="10">
        <v>2025.0</v>
      </c>
      <c r="G1640" s="10"/>
    </row>
    <row r="1641">
      <c r="A1641" s="21">
        <v>45847.0</v>
      </c>
      <c r="B1641" s="12" t="s">
        <v>51</v>
      </c>
      <c r="C1641" s="11">
        <v>250.0</v>
      </c>
      <c r="D1641" s="10">
        <v>28.0</v>
      </c>
      <c r="E1641" s="10">
        <v>277.0</v>
      </c>
      <c r="F1641" s="10">
        <v>2025.0</v>
      </c>
      <c r="G1641" s="10"/>
    </row>
    <row r="1642">
      <c r="A1642" s="7">
        <v>45847.0</v>
      </c>
      <c r="B1642" s="12" t="s">
        <v>36</v>
      </c>
      <c r="C1642" s="11">
        <v>1240.0</v>
      </c>
      <c r="D1642" s="10">
        <v>28.0</v>
      </c>
      <c r="E1642" s="10">
        <v>277.0</v>
      </c>
      <c r="F1642" s="10">
        <v>2025.0</v>
      </c>
      <c r="G1642" s="10"/>
    </row>
    <row r="1643">
      <c r="A1643" s="7">
        <v>45847.0</v>
      </c>
      <c r="B1643" s="12" t="s">
        <v>37</v>
      </c>
      <c r="C1643" s="11">
        <v>2237.0</v>
      </c>
      <c r="D1643" s="10">
        <v>28.0</v>
      </c>
      <c r="E1643" s="10">
        <v>277.0</v>
      </c>
      <c r="F1643" s="10">
        <v>2025.0</v>
      </c>
      <c r="G1643" s="10"/>
    </row>
    <row r="1644">
      <c r="A1644" s="7">
        <v>45847.0</v>
      </c>
      <c r="B1644" s="12" t="s">
        <v>49</v>
      </c>
      <c r="C1644" s="14">
        <v>285.0</v>
      </c>
      <c r="D1644" s="10">
        <v>28.0</v>
      </c>
      <c r="E1644" s="10">
        <v>277.0</v>
      </c>
      <c r="F1644" s="10">
        <v>2025.0</v>
      </c>
      <c r="G1644" s="10"/>
    </row>
    <row r="1645">
      <c r="A1645" s="7">
        <v>45847.0</v>
      </c>
      <c r="B1645" s="12" t="s">
        <v>44</v>
      </c>
      <c r="C1645" s="11">
        <v>528.0</v>
      </c>
      <c r="D1645" s="10">
        <v>28.0</v>
      </c>
      <c r="E1645" s="10">
        <v>277.0</v>
      </c>
      <c r="F1645" s="10">
        <v>2025.0</v>
      </c>
      <c r="G1645" s="10"/>
    </row>
    <row r="1646">
      <c r="A1646" s="7">
        <v>45847.0</v>
      </c>
      <c r="B1646" s="12" t="s">
        <v>40</v>
      </c>
      <c r="C1646" s="11">
        <v>350.0</v>
      </c>
      <c r="D1646" s="10">
        <v>28.0</v>
      </c>
      <c r="E1646" s="10">
        <v>277.0</v>
      </c>
      <c r="F1646" s="10">
        <v>2025.0</v>
      </c>
      <c r="G1646" s="10"/>
    </row>
    <row r="1647">
      <c r="A1647" s="7">
        <v>45854.0</v>
      </c>
      <c r="B1647" s="12" t="s">
        <v>35</v>
      </c>
      <c r="C1647" s="11">
        <v>3120.0</v>
      </c>
      <c r="D1647" s="10">
        <v>29.0</v>
      </c>
      <c r="E1647" s="10">
        <v>278.0</v>
      </c>
      <c r="F1647" s="10">
        <v>2025.0</v>
      </c>
      <c r="G1647" s="10"/>
    </row>
    <row r="1648">
      <c r="A1648" s="7">
        <v>45854.0</v>
      </c>
      <c r="B1648" s="12" t="s">
        <v>36</v>
      </c>
      <c r="C1648" s="11">
        <v>1297.0</v>
      </c>
      <c r="D1648" s="10">
        <v>29.0</v>
      </c>
      <c r="E1648" s="10">
        <v>278.0</v>
      </c>
      <c r="F1648" s="10">
        <v>2025.0</v>
      </c>
      <c r="G1648" s="10"/>
    </row>
    <row r="1649">
      <c r="A1649" s="7">
        <v>45854.0</v>
      </c>
      <c r="B1649" s="12" t="s">
        <v>37</v>
      </c>
      <c r="C1649" s="11">
        <v>2024.0</v>
      </c>
      <c r="D1649" s="10">
        <v>29.0</v>
      </c>
      <c r="E1649" s="10">
        <v>278.0</v>
      </c>
      <c r="F1649" s="10">
        <v>2025.0</v>
      </c>
      <c r="G1649" s="10"/>
    </row>
    <row r="1650">
      <c r="A1650" s="7">
        <v>45854.0</v>
      </c>
      <c r="B1650" s="12" t="s">
        <v>40</v>
      </c>
      <c r="C1650" s="11">
        <v>893.0</v>
      </c>
      <c r="D1650" s="10">
        <v>29.0</v>
      </c>
      <c r="E1650" s="10">
        <v>278.0</v>
      </c>
      <c r="F1650" s="10">
        <v>2025.0</v>
      </c>
      <c r="G1650" s="10"/>
    </row>
    <row r="1651">
      <c r="A1651" s="7">
        <v>45854.0</v>
      </c>
      <c r="B1651" s="8" t="s">
        <v>51</v>
      </c>
      <c r="C1651" s="11">
        <v>275.0</v>
      </c>
      <c r="D1651" s="10">
        <v>29.0</v>
      </c>
      <c r="E1651" s="10">
        <v>278.0</v>
      </c>
      <c r="F1651" s="10">
        <v>2025.0</v>
      </c>
      <c r="G1651" s="10"/>
    </row>
    <row r="1652">
      <c r="A1652" s="7">
        <v>45854.0</v>
      </c>
      <c r="B1652" s="8" t="s">
        <v>44</v>
      </c>
      <c r="C1652" s="11">
        <v>1498.0</v>
      </c>
      <c r="D1652" s="10">
        <v>29.0</v>
      </c>
      <c r="E1652" s="10">
        <v>278.0</v>
      </c>
      <c r="F1652" s="10">
        <v>2025.0</v>
      </c>
      <c r="G1652" s="10"/>
    </row>
    <row r="1653">
      <c r="A1653" s="7">
        <v>45854.0</v>
      </c>
      <c r="B1653" s="8" t="s">
        <v>49</v>
      </c>
      <c r="C1653" s="9">
        <v>205.0</v>
      </c>
      <c r="D1653" s="10">
        <v>29.0</v>
      </c>
      <c r="E1653" s="10">
        <v>278.0</v>
      </c>
      <c r="F1653" s="10">
        <v>2025.0</v>
      </c>
      <c r="G1653" s="10"/>
    </row>
    <row r="1654">
      <c r="A1654" s="7">
        <v>45861.0</v>
      </c>
      <c r="B1654" s="8" t="s">
        <v>35</v>
      </c>
      <c r="C1654" s="9">
        <v>2002.0</v>
      </c>
      <c r="D1654" s="10">
        <v>30.0</v>
      </c>
      <c r="E1654" s="10">
        <v>279.0</v>
      </c>
      <c r="F1654" s="10">
        <v>2025.0</v>
      </c>
      <c r="G1654" s="10"/>
    </row>
    <row r="1655">
      <c r="A1655" s="7">
        <v>45861.0</v>
      </c>
      <c r="B1655" s="8" t="s">
        <v>36</v>
      </c>
      <c r="C1655" s="9">
        <v>2610.0</v>
      </c>
      <c r="D1655" s="10">
        <v>30.0</v>
      </c>
      <c r="E1655" s="10">
        <v>279.0</v>
      </c>
      <c r="F1655" s="10">
        <v>2025.0</v>
      </c>
      <c r="G1655" s="10"/>
    </row>
    <row r="1656">
      <c r="A1656" s="7">
        <v>45861.0</v>
      </c>
      <c r="B1656" s="8" t="s">
        <v>37</v>
      </c>
      <c r="C1656" s="9">
        <v>2564.0</v>
      </c>
      <c r="D1656" s="10">
        <v>30.0</v>
      </c>
      <c r="E1656" s="10">
        <v>279.0</v>
      </c>
      <c r="F1656" s="10">
        <v>2025.0</v>
      </c>
      <c r="G1656" s="10"/>
    </row>
    <row r="1657">
      <c r="A1657" s="7">
        <v>45861.0</v>
      </c>
      <c r="B1657" s="8" t="s">
        <v>40</v>
      </c>
      <c r="C1657" s="9">
        <v>575.0</v>
      </c>
      <c r="D1657" s="10">
        <v>30.0</v>
      </c>
      <c r="E1657" s="10">
        <v>279.0</v>
      </c>
      <c r="F1657" s="10">
        <v>2025.0</v>
      </c>
      <c r="G1657" s="10"/>
    </row>
    <row r="1658">
      <c r="A1658" s="7">
        <v>45861.0</v>
      </c>
      <c r="B1658" s="8" t="s">
        <v>44</v>
      </c>
      <c r="C1658" s="9">
        <v>1237.0</v>
      </c>
      <c r="D1658" s="10">
        <v>30.0</v>
      </c>
      <c r="E1658" s="10">
        <v>279.0</v>
      </c>
      <c r="F1658" s="10">
        <v>2025.0</v>
      </c>
      <c r="G1658" s="10"/>
    </row>
    <row r="1659">
      <c r="A1659" s="7">
        <v>45861.0</v>
      </c>
      <c r="B1659" s="8" t="s">
        <v>51</v>
      </c>
      <c r="C1659" s="9">
        <v>275.0</v>
      </c>
      <c r="D1659" s="10">
        <v>30.0</v>
      </c>
      <c r="E1659" s="10">
        <v>279.0</v>
      </c>
      <c r="F1659" s="10">
        <v>2025.0</v>
      </c>
      <c r="G1659" s="10"/>
    </row>
    <row r="1660">
      <c r="A1660" s="7">
        <v>45861.0</v>
      </c>
      <c r="B1660" s="8" t="s">
        <v>49</v>
      </c>
      <c r="C1660" s="9">
        <v>205.0</v>
      </c>
      <c r="D1660" s="10">
        <v>30.0</v>
      </c>
      <c r="E1660" s="10">
        <v>279.0</v>
      </c>
      <c r="F1660" s="10">
        <v>2025.0</v>
      </c>
      <c r="G1660" s="10"/>
    </row>
    <row r="1661">
      <c r="A1661" s="21">
        <v>45861.0</v>
      </c>
      <c r="B1661" s="22" t="s">
        <v>50</v>
      </c>
      <c r="C1661" s="23">
        <v>500.0</v>
      </c>
      <c r="D1661" s="24">
        <v>30.0</v>
      </c>
      <c r="E1661" s="24">
        <v>279.0</v>
      </c>
      <c r="F1661" s="24">
        <v>2025.0</v>
      </c>
    </row>
    <row r="1662">
      <c r="A1662" s="7">
        <v>45868.0</v>
      </c>
      <c r="B1662" s="8" t="s">
        <v>36</v>
      </c>
      <c r="C1662" s="9">
        <v>2110.0</v>
      </c>
      <c r="D1662" s="10">
        <v>31.0</v>
      </c>
      <c r="E1662" s="10">
        <v>280.0</v>
      </c>
      <c r="F1662" s="10">
        <v>2025.0</v>
      </c>
      <c r="G1662" s="10"/>
    </row>
    <row r="1663">
      <c r="A1663" s="7">
        <v>45868.0</v>
      </c>
      <c r="B1663" s="8" t="s">
        <v>35</v>
      </c>
      <c r="C1663" s="9">
        <v>2002.0</v>
      </c>
      <c r="D1663" s="10">
        <v>31.0</v>
      </c>
      <c r="E1663" s="10">
        <v>280.0</v>
      </c>
      <c r="F1663" s="10">
        <v>2025.0</v>
      </c>
      <c r="G1663" s="10"/>
    </row>
    <row r="1664">
      <c r="A1664" s="7">
        <v>45868.0</v>
      </c>
      <c r="B1664" s="8" t="s">
        <v>37</v>
      </c>
      <c r="C1664" s="9">
        <v>1475.0</v>
      </c>
      <c r="D1664" s="10">
        <v>31.0</v>
      </c>
      <c r="E1664" s="10">
        <v>280.0</v>
      </c>
      <c r="F1664" s="10">
        <v>2025.0</v>
      </c>
      <c r="G1664" s="10"/>
    </row>
    <row r="1665">
      <c r="A1665" s="7">
        <v>45868.0</v>
      </c>
      <c r="B1665" s="8" t="s">
        <v>40</v>
      </c>
      <c r="C1665" s="9">
        <v>499.0</v>
      </c>
      <c r="D1665" s="10">
        <v>31.0</v>
      </c>
      <c r="E1665" s="10">
        <v>280.0</v>
      </c>
      <c r="F1665" s="10">
        <v>2025.0</v>
      </c>
      <c r="G1665" s="10"/>
    </row>
    <row r="1666">
      <c r="A1666" s="7">
        <v>45868.0</v>
      </c>
      <c r="B1666" s="8" t="s">
        <v>44</v>
      </c>
      <c r="C1666" s="9">
        <v>1102.0</v>
      </c>
      <c r="D1666" s="10">
        <v>31.0</v>
      </c>
      <c r="E1666" s="10">
        <v>280.0</v>
      </c>
      <c r="F1666" s="10">
        <v>2025.0</v>
      </c>
      <c r="G1666" s="10"/>
    </row>
    <row r="1667">
      <c r="A1667" s="7">
        <v>45868.0</v>
      </c>
      <c r="B1667" s="8" t="s">
        <v>51</v>
      </c>
      <c r="C1667" s="9">
        <v>275.0</v>
      </c>
      <c r="D1667" s="10">
        <v>31.0</v>
      </c>
      <c r="E1667" s="10">
        <v>280.0</v>
      </c>
      <c r="F1667" s="10">
        <v>2025.0</v>
      </c>
      <c r="G1667" s="10"/>
    </row>
    <row r="1668">
      <c r="A1668" s="7">
        <v>45868.0</v>
      </c>
      <c r="B1668" s="8" t="s">
        <v>50</v>
      </c>
      <c r="C1668" s="9">
        <v>180.0</v>
      </c>
      <c r="D1668" s="10">
        <v>31.0</v>
      </c>
      <c r="E1668" s="10">
        <v>280.0</v>
      </c>
      <c r="F1668" s="10">
        <v>2025.0</v>
      </c>
      <c r="G1668" s="10"/>
    </row>
    <row r="1669">
      <c r="A1669" s="7">
        <v>45875.0</v>
      </c>
      <c r="B1669" s="8" t="s">
        <v>37</v>
      </c>
      <c r="C1669" s="9">
        <v>668.0</v>
      </c>
      <c r="D1669" s="10">
        <v>32.0</v>
      </c>
      <c r="E1669" s="10">
        <v>281.0</v>
      </c>
      <c r="F1669" s="10">
        <v>2025.0</v>
      </c>
      <c r="G1669" s="10"/>
    </row>
    <row r="1670">
      <c r="A1670" s="7">
        <v>45875.0</v>
      </c>
      <c r="B1670" s="8" t="s">
        <v>50</v>
      </c>
      <c r="C1670" s="9">
        <v>1055.0</v>
      </c>
      <c r="D1670" s="10">
        <v>32.0</v>
      </c>
      <c r="E1670" s="10">
        <v>281.0</v>
      </c>
      <c r="F1670" s="10">
        <v>2025.0</v>
      </c>
      <c r="G1670" s="10"/>
    </row>
    <row r="1671">
      <c r="A1671" s="7">
        <v>45875.0</v>
      </c>
      <c r="B1671" s="8" t="s">
        <v>40</v>
      </c>
      <c r="C1671" s="9">
        <v>55.0</v>
      </c>
      <c r="D1671" s="10">
        <v>32.0</v>
      </c>
      <c r="E1671" s="10">
        <v>281.0</v>
      </c>
      <c r="F1671" s="10">
        <v>2025.0</v>
      </c>
      <c r="G1671" s="10"/>
    </row>
    <row r="1672">
      <c r="A1672" s="7">
        <v>45875.0</v>
      </c>
      <c r="B1672" s="8" t="s">
        <v>36</v>
      </c>
      <c r="C1672" s="9">
        <v>312.0</v>
      </c>
      <c r="D1672" s="10">
        <v>32.0</v>
      </c>
      <c r="E1672" s="10">
        <v>281.0</v>
      </c>
      <c r="F1672" s="10">
        <v>2025.0</v>
      </c>
      <c r="G1672" s="10"/>
    </row>
    <row r="1673">
      <c r="A1673" s="7">
        <v>45875.0</v>
      </c>
      <c r="B1673" s="8" t="s">
        <v>44</v>
      </c>
      <c r="C1673" s="9">
        <v>922.0</v>
      </c>
      <c r="D1673" s="10">
        <v>32.0</v>
      </c>
      <c r="E1673" s="10">
        <v>281.0</v>
      </c>
      <c r="F1673" s="10">
        <v>2025.0</v>
      </c>
      <c r="G1673" s="10"/>
    </row>
    <row r="1674">
      <c r="A1674" s="7">
        <v>45875.0</v>
      </c>
      <c r="B1674" s="25"/>
      <c r="C1674" s="9"/>
      <c r="D1674" s="10">
        <v>32.0</v>
      </c>
      <c r="E1674" s="10">
        <v>281.0</v>
      </c>
      <c r="F1674" s="10">
        <v>2025.0</v>
      </c>
      <c r="G1674" s="10"/>
    </row>
    <row r="1675">
      <c r="A1675" s="7">
        <v>45560.0</v>
      </c>
      <c r="B1675" s="8" t="s">
        <v>50</v>
      </c>
      <c r="C1675" s="9">
        <v>12267.0</v>
      </c>
      <c r="D1675" s="10">
        <v>39.0</v>
      </c>
      <c r="E1675" s="10">
        <v>235.0</v>
      </c>
      <c r="F1675" s="10">
        <v>2024.0</v>
      </c>
      <c r="G1675" s="10"/>
    </row>
    <row r="1676">
      <c r="A1676" s="7"/>
      <c r="B1676" s="25"/>
      <c r="C1676" s="9"/>
      <c r="D1676" s="10"/>
      <c r="E1676" s="10"/>
      <c r="F1676" s="10"/>
      <c r="G1676" s="10"/>
    </row>
    <row r="1677">
      <c r="A1677" s="7"/>
      <c r="B1677" s="25"/>
      <c r="C1677" s="9"/>
      <c r="D1677" s="10"/>
      <c r="E1677" s="10"/>
      <c r="F1677" s="10"/>
      <c r="G1677" s="10"/>
    </row>
    <row r="1678">
      <c r="A1678" s="7"/>
      <c r="B1678" s="25"/>
      <c r="C1678" s="9"/>
      <c r="D1678" s="10"/>
      <c r="E1678" s="10"/>
      <c r="F1678" s="10"/>
      <c r="G1678" s="10"/>
    </row>
    <row r="1679">
      <c r="A1679" s="7"/>
      <c r="B1679" s="25"/>
      <c r="C1679" s="9"/>
      <c r="D1679" s="10"/>
      <c r="E1679" s="10"/>
      <c r="F1679" s="10"/>
      <c r="G1679" s="10"/>
    </row>
    <row r="1680">
      <c r="A1680" s="7"/>
      <c r="B1680" s="25"/>
      <c r="C1680" s="9"/>
      <c r="D1680" s="10"/>
      <c r="E1680" s="10"/>
      <c r="F1680" s="10"/>
      <c r="G1680" s="10"/>
    </row>
    <row r="1681">
      <c r="A1681" s="7"/>
      <c r="B1681" s="25"/>
      <c r="C1681" s="9"/>
      <c r="D1681" s="10"/>
      <c r="E1681" s="10"/>
      <c r="F1681" s="10"/>
      <c r="G1681" s="10"/>
    </row>
    <row r="1682">
      <c r="A1682" s="7"/>
      <c r="B1682" s="25"/>
      <c r="C1682" s="9"/>
      <c r="D1682" s="10"/>
      <c r="E1682" s="10"/>
      <c r="F1682" s="10"/>
      <c r="G1682" s="10"/>
    </row>
    <row r="1683">
      <c r="A1683" s="7"/>
      <c r="B1683" s="25"/>
      <c r="C1683" s="9"/>
      <c r="D1683" s="10"/>
      <c r="E1683" s="10"/>
      <c r="F1683" s="10"/>
      <c r="G1683" s="10"/>
    </row>
    <row r="1684">
      <c r="A1684" s="7"/>
      <c r="B1684" s="25"/>
      <c r="C1684" s="9"/>
      <c r="D1684" s="10"/>
      <c r="E1684" s="10"/>
      <c r="F1684" s="10"/>
      <c r="G1684" s="10"/>
    </row>
    <row r="1685">
      <c r="A1685" s="7"/>
      <c r="B1685" s="25"/>
      <c r="C1685" s="9"/>
      <c r="D1685" s="10"/>
      <c r="E1685" s="10"/>
      <c r="F1685" s="10"/>
      <c r="G1685" s="10"/>
    </row>
    <row r="1686">
      <c r="A1686" s="7"/>
      <c r="B1686" s="25"/>
      <c r="C1686" s="9"/>
      <c r="D1686" s="10"/>
      <c r="E1686" s="10"/>
      <c r="F1686" s="10"/>
      <c r="G1686" s="10"/>
    </row>
    <row r="1687">
      <c r="A1687" s="7">
        <v>46023.0</v>
      </c>
      <c r="B1687" s="8" t="s">
        <v>34</v>
      </c>
      <c r="C1687" s="9">
        <v>0.0</v>
      </c>
      <c r="D1687" s="10">
        <v>1.0</v>
      </c>
      <c r="E1687" s="10">
        <v>303.0</v>
      </c>
      <c r="F1687" s="10">
        <v>2026.0</v>
      </c>
      <c r="G1687" s="10"/>
    </row>
    <row r="1688">
      <c r="C1688" s="26"/>
      <c r="D1688" s="27"/>
      <c r="E1688" s="27"/>
      <c r="F1688" s="27"/>
    </row>
    <row r="1689">
      <c r="C1689" s="26"/>
      <c r="D1689" s="27"/>
      <c r="E1689" s="27"/>
      <c r="F1689" s="27"/>
    </row>
    <row r="1690">
      <c r="A1690" s="28"/>
      <c r="B1690" s="1"/>
      <c r="C1690" s="29"/>
      <c r="D1690" s="27"/>
      <c r="E1690" s="27"/>
      <c r="F1690" s="27"/>
    </row>
    <row r="1691">
      <c r="A1691" s="28"/>
      <c r="B1691" s="1"/>
      <c r="C1691" s="29"/>
      <c r="D1691" s="27"/>
      <c r="E1691" s="27"/>
      <c r="F1691" s="27"/>
    </row>
    <row r="1692">
      <c r="A1692" s="28"/>
      <c r="B1692" s="1"/>
      <c r="C1692" s="29"/>
      <c r="D1692" s="27"/>
      <c r="E1692" s="27"/>
      <c r="F1692" s="27"/>
    </row>
    <row r="1693">
      <c r="A1693" s="28"/>
      <c r="B1693" s="1"/>
      <c r="C1693" s="29">
        <f>SUM(WeeklyData[Sandwiches])</f>
        <v>2004432</v>
      </c>
      <c r="D1693" s="27"/>
      <c r="E1693" s="27"/>
      <c r="F1693" s="27"/>
    </row>
    <row r="1694">
      <c r="A1694" s="28"/>
      <c r="B1694" s="1"/>
      <c r="C1694" s="29"/>
      <c r="D1694" s="27"/>
      <c r="E1694" s="27"/>
      <c r="F1694" s="27"/>
    </row>
    <row r="1695">
      <c r="A1695" s="28"/>
      <c r="B1695" s="1"/>
      <c r="C1695" s="29"/>
      <c r="D1695" s="27"/>
      <c r="E1695" s="27"/>
      <c r="F1695" s="27"/>
    </row>
    <row r="1696">
      <c r="A1696" s="28"/>
      <c r="B1696" s="1"/>
      <c r="C1696" s="29"/>
      <c r="D1696" s="27"/>
      <c r="E1696" s="27"/>
      <c r="F1696" s="27"/>
    </row>
    <row r="1697">
      <c r="A1697" s="28"/>
      <c r="B1697" s="1"/>
      <c r="C1697" s="29"/>
      <c r="D1697" s="27"/>
      <c r="E1697" s="27"/>
      <c r="F1697" s="27"/>
    </row>
    <row r="1698">
      <c r="A1698" s="28"/>
      <c r="B1698" s="1"/>
      <c r="C1698" s="29"/>
      <c r="D1698" s="27"/>
      <c r="E1698" s="27"/>
      <c r="F1698" s="27"/>
    </row>
    <row r="1699">
      <c r="A1699" s="28"/>
      <c r="B1699" s="1"/>
      <c r="C1699" s="29"/>
      <c r="D1699" s="27"/>
      <c r="E1699" s="27"/>
      <c r="F1699" s="27"/>
    </row>
    <row r="1700">
      <c r="A1700" s="28"/>
      <c r="B1700" s="1"/>
      <c r="C1700" s="29"/>
      <c r="D1700" s="27"/>
      <c r="E1700" s="27"/>
      <c r="F1700" s="27"/>
    </row>
    <row r="1701">
      <c r="A1701" s="28"/>
      <c r="B1701" s="1"/>
      <c r="C1701" s="29"/>
      <c r="D1701" s="27"/>
      <c r="E1701" s="27"/>
      <c r="F1701" s="27"/>
    </row>
    <row r="1702">
      <c r="A1702" s="28"/>
      <c r="B1702" s="1"/>
      <c r="C1702" s="29"/>
      <c r="D1702" s="27"/>
      <c r="E1702" s="27"/>
      <c r="F1702" s="27"/>
    </row>
    <row r="1703">
      <c r="A1703" s="28"/>
      <c r="B1703" s="1"/>
      <c r="C1703" s="29"/>
      <c r="D1703" s="27"/>
      <c r="E1703" s="27"/>
      <c r="F1703" s="27"/>
    </row>
    <row r="1704">
      <c r="A1704" s="28"/>
      <c r="B1704" s="1"/>
      <c r="C1704" s="29"/>
      <c r="D1704" s="27"/>
      <c r="E1704" s="27"/>
      <c r="F1704" s="27"/>
    </row>
    <row r="1705">
      <c r="A1705" s="28"/>
      <c r="B1705" s="1"/>
      <c r="C1705" s="29"/>
      <c r="D1705" s="27"/>
      <c r="E1705" s="27"/>
      <c r="F1705" s="27"/>
    </row>
    <row r="1706">
      <c r="A1706" s="28"/>
      <c r="B1706" s="1"/>
      <c r="C1706" s="29"/>
      <c r="D1706" s="27"/>
      <c r="E1706" s="27"/>
      <c r="F1706" s="27"/>
    </row>
    <row r="1707">
      <c r="A1707" s="28"/>
      <c r="B1707" s="1"/>
      <c r="C1707" s="29"/>
      <c r="D1707" s="27"/>
      <c r="E1707" s="27"/>
      <c r="F1707" s="27"/>
    </row>
    <row r="1708">
      <c r="A1708" s="28"/>
      <c r="B1708" s="1"/>
      <c r="C1708" s="29"/>
      <c r="D1708" s="27"/>
      <c r="E1708" s="27"/>
      <c r="F1708" s="27"/>
    </row>
    <row r="1709">
      <c r="A1709" s="28"/>
      <c r="B1709" s="1"/>
      <c r="C1709" s="29"/>
      <c r="D1709" s="27"/>
      <c r="E1709" s="27"/>
      <c r="F1709" s="27"/>
    </row>
    <row r="1710">
      <c r="A1710" s="28"/>
      <c r="B1710" s="1"/>
      <c r="C1710" s="29"/>
      <c r="D1710" s="27"/>
      <c r="E1710" s="27"/>
      <c r="F1710" s="27"/>
    </row>
    <row r="1711">
      <c r="A1711" s="28"/>
      <c r="B1711" s="1"/>
      <c r="C1711" s="29"/>
      <c r="D1711" s="27"/>
      <c r="E1711" s="27"/>
      <c r="F1711" s="27"/>
    </row>
    <row r="1712">
      <c r="A1712" s="28"/>
      <c r="B1712" s="1"/>
      <c r="C1712" s="29"/>
      <c r="D1712" s="27"/>
      <c r="E1712" s="27"/>
      <c r="F1712" s="27"/>
    </row>
    <row r="1713">
      <c r="A1713" s="28"/>
      <c r="B1713" s="1"/>
      <c r="C1713" s="29"/>
      <c r="D1713" s="27"/>
      <c r="E1713" s="27"/>
      <c r="F1713" s="27"/>
    </row>
    <row r="1714">
      <c r="A1714" s="28"/>
      <c r="B1714" s="1"/>
      <c r="C1714" s="29"/>
      <c r="D1714" s="27"/>
      <c r="E1714" s="27"/>
      <c r="F1714" s="27"/>
    </row>
    <row r="1715">
      <c r="A1715" s="28"/>
      <c r="B1715" s="1"/>
      <c r="C1715" s="29"/>
      <c r="D1715" s="27"/>
      <c r="E1715" s="27"/>
      <c r="F1715" s="27"/>
    </row>
    <row r="1716">
      <c r="A1716" s="28"/>
      <c r="B1716" s="1"/>
      <c r="C1716" s="29"/>
      <c r="D1716" s="27"/>
      <c r="E1716" s="27"/>
      <c r="F1716" s="27"/>
    </row>
    <row r="1717">
      <c r="A1717" s="28"/>
      <c r="B1717" s="1"/>
      <c r="C1717" s="29"/>
      <c r="D1717" s="27"/>
      <c r="E1717" s="27"/>
      <c r="F1717" s="27"/>
    </row>
    <row r="1718">
      <c r="A1718" s="28"/>
      <c r="B1718" s="1"/>
      <c r="C1718" s="29"/>
      <c r="D1718" s="27"/>
      <c r="E1718" s="27"/>
      <c r="F1718" s="27"/>
    </row>
    <row r="1719">
      <c r="A1719" s="28"/>
      <c r="B1719" s="1"/>
      <c r="C1719" s="29"/>
      <c r="D1719" s="27"/>
      <c r="E1719" s="27"/>
      <c r="F1719" s="27"/>
    </row>
    <row r="1720">
      <c r="A1720" s="28"/>
      <c r="B1720" s="1"/>
      <c r="C1720" s="29"/>
      <c r="D1720" s="27"/>
      <c r="E1720" s="27"/>
      <c r="F1720" s="27"/>
    </row>
    <row r="1721">
      <c r="A1721" s="28"/>
      <c r="B1721" s="1"/>
      <c r="C1721" s="29"/>
      <c r="D1721" s="27"/>
      <c r="E1721" s="27"/>
      <c r="F1721" s="27"/>
    </row>
    <row r="1722">
      <c r="A1722" s="28"/>
      <c r="B1722" s="1"/>
      <c r="C1722" s="29"/>
      <c r="D1722" s="27"/>
      <c r="E1722" s="27"/>
      <c r="F1722" s="27"/>
    </row>
    <row r="1723">
      <c r="A1723" s="28"/>
      <c r="B1723" s="1"/>
      <c r="C1723" s="29"/>
      <c r="D1723" s="27"/>
      <c r="E1723" s="27"/>
      <c r="F1723" s="27"/>
    </row>
    <row r="1724">
      <c r="A1724" s="28"/>
      <c r="B1724" s="1"/>
      <c r="C1724" s="29"/>
      <c r="D1724" s="27"/>
      <c r="E1724" s="27"/>
      <c r="F1724" s="27"/>
    </row>
    <row r="1725">
      <c r="A1725" s="28"/>
      <c r="B1725" s="1"/>
      <c r="C1725" s="29"/>
      <c r="D1725" s="27"/>
      <c r="E1725" s="27"/>
      <c r="F1725" s="27"/>
    </row>
    <row r="1726">
      <c r="A1726" s="28"/>
      <c r="B1726" s="1"/>
      <c r="C1726" s="29"/>
      <c r="D1726" s="27"/>
      <c r="E1726" s="27"/>
      <c r="F1726" s="27"/>
    </row>
    <row r="1727">
      <c r="A1727" s="28"/>
      <c r="B1727" s="1"/>
      <c r="C1727" s="29"/>
      <c r="D1727" s="27"/>
      <c r="E1727" s="27"/>
      <c r="F1727" s="27"/>
    </row>
    <row r="1728">
      <c r="A1728" s="28"/>
      <c r="B1728" s="1"/>
      <c r="C1728" s="29"/>
      <c r="D1728" s="27"/>
      <c r="E1728" s="27"/>
      <c r="F1728" s="27"/>
    </row>
    <row r="1729">
      <c r="A1729" s="28"/>
      <c r="B1729" s="1"/>
      <c r="C1729" s="29"/>
      <c r="D1729" s="27"/>
      <c r="E1729" s="27"/>
      <c r="F1729" s="27"/>
    </row>
    <row r="1730">
      <c r="A1730" s="28"/>
      <c r="B1730" s="1"/>
      <c r="C1730" s="29"/>
      <c r="D1730" s="27"/>
      <c r="E1730" s="27"/>
      <c r="F1730" s="27"/>
    </row>
    <row r="1731">
      <c r="A1731" s="28"/>
      <c r="B1731" s="1"/>
      <c r="C1731" s="29"/>
      <c r="D1731" s="27"/>
      <c r="E1731" s="27"/>
      <c r="F1731" s="27"/>
    </row>
    <row r="1732">
      <c r="A1732" s="28"/>
      <c r="B1732" s="1"/>
      <c r="C1732" s="29"/>
      <c r="D1732" s="27"/>
      <c r="E1732" s="27"/>
      <c r="F1732" s="27"/>
    </row>
    <row r="1733">
      <c r="A1733" s="28"/>
      <c r="B1733" s="1"/>
      <c r="C1733" s="29"/>
      <c r="D1733" s="27"/>
      <c r="E1733" s="27"/>
      <c r="F1733" s="27"/>
    </row>
    <row r="1734">
      <c r="A1734" s="28"/>
      <c r="B1734" s="1"/>
      <c r="C1734" s="29"/>
      <c r="D1734" s="27"/>
      <c r="E1734" s="27"/>
      <c r="F1734" s="27"/>
    </row>
    <row r="1735">
      <c r="A1735" s="28"/>
      <c r="B1735" s="1"/>
      <c r="C1735" s="29"/>
      <c r="D1735" s="27"/>
      <c r="E1735" s="27"/>
      <c r="F1735" s="27"/>
    </row>
    <row r="1736">
      <c r="A1736" s="28"/>
      <c r="B1736" s="1"/>
      <c r="C1736" s="29"/>
      <c r="D1736" s="27"/>
      <c r="E1736" s="27"/>
      <c r="F1736" s="27"/>
    </row>
    <row r="1737">
      <c r="A1737" s="28"/>
      <c r="B1737" s="1"/>
      <c r="C1737" s="29"/>
      <c r="D1737" s="27"/>
      <c r="E1737" s="27"/>
      <c r="F1737" s="27"/>
    </row>
    <row r="1738">
      <c r="A1738" s="28"/>
      <c r="B1738" s="1"/>
      <c r="C1738" s="29"/>
      <c r="D1738" s="27"/>
      <c r="E1738" s="27"/>
      <c r="F1738" s="27"/>
    </row>
    <row r="1739">
      <c r="A1739" s="28"/>
      <c r="B1739" s="1"/>
      <c r="C1739" s="29"/>
      <c r="D1739" s="27"/>
      <c r="E1739" s="27"/>
      <c r="F1739" s="27"/>
    </row>
    <row r="1740">
      <c r="A1740" s="28"/>
      <c r="B1740" s="1"/>
      <c r="C1740" s="29"/>
      <c r="D1740" s="27"/>
      <c r="E1740" s="27"/>
      <c r="F1740" s="27"/>
    </row>
    <row r="1741">
      <c r="A1741" s="28"/>
      <c r="B1741" s="1"/>
      <c r="C1741" s="29"/>
      <c r="D1741" s="27"/>
      <c r="E1741" s="27"/>
      <c r="F1741" s="27"/>
    </row>
    <row r="1742">
      <c r="A1742" s="28"/>
      <c r="B1742" s="1"/>
      <c r="C1742" s="29"/>
      <c r="D1742" s="27"/>
      <c r="E1742" s="27"/>
      <c r="F1742" s="27"/>
    </row>
    <row r="1743">
      <c r="A1743" s="28"/>
      <c r="B1743" s="1"/>
      <c r="C1743" s="29"/>
      <c r="D1743" s="27"/>
      <c r="E1743" s="27"/>
      <c r="F1743" s="27"/>
    </row>
    <row r="1744">
      <c r="A1744" s="28"/>
      <c r="B1744" s="1"/>
      <c r="C1744" s="29"/>
      <c r="D1744" s="27"/>
      <c r="E1744" s="27"/>
      <c r="F1744" s="27"/>
    </row>
    <row r="1745">
      <c r="A1745" s="28"/>
      <c r="B1745" s="1"/>
      <c r="C1745" s="29"/>
      <c r="D1745" s="27"/>
      <c r="E1745" s="27"/>
      <c r="F1745" s="27"/>
    </row>
    <row r="1746">
      <c r="A1746" s="28"/>
      <c r="B1746" s="1"/>
      <c r="C1746" s="29"/>
      <c r="D1746" s="27"/>
      <c r="E1746" s="27"/>
      <c r="F1746" s="27"/>
    </row>
    <row r="1747">
      <c r="A1747" s="28"/>
      <c r="B1747" s="1"/>
      <c r="C1747" s="29"/>
      <c r="D1747" s="27"/>
      <c r="E1747" s="27"/>
      <c r="F1747" s="27"/>
    </row>
    <row r="1748">
      <c r="A1748" s="28"/>
      <c r="B1748" s="1"/>
      <c r="C1748" s="29"/>
      <c r="D1748" s="27"/>
      <c r="E1748" s="27"/>
      <c r="F1748" s="27"/>
    </row>
    <row r="1749">
      <c r="A1749" s="28"/>
      <c r="B1749" s="1"/>
      <c r="C1749" s="29"/>
      <c r="D1749" s="27"/>
      <c r="E1749" s="27"/>
      <c r="F1749" s="27"/>
    </row>
    <row r="1750">
      <c r="A1750" s="28"/>
      <c r="B1750" s="1"/>
      <c r="C1750" s="29"/>
      <c r="D1750" s="27"/>
      <c r="E1750" s="27"/>
      <c r="F1750" s="27"/>
    </row>
    <row r="1751">
      <c r="A1751" s="28"/>
      <c r="B1751" s="1"/>
      <c r="C1751" s="29"/>
      <c r="D1751" s="27"/>
      <c r="E1751" s="27"/>
      <c r="F1751" s="27"/>
    </row>
    <row r="1752">
      <c r="A1752" s="28"/>
      <c r="B1752" s="1"/>
      <c r="C1752" s="29"/>
      <c r="D1752" s="27"/>
      <c r="E1752" s="27"/>
      <c r="F1752" s="27"/>
    </row>
    <row r="1753">
      <c r="A1753" s="28"/>
      <c r="B1753" s="1"/>
      <c r="C1753" s="29"/>
      <c r="D1753" s="27"/>
      <c r="E1753" s="27"/>
      <c r="F1753" s="27"/>
    </row>
    <row r="1754">
      <c r="A1754" s="28"/>
      <c r="B1754" s="1"/>
      <c r="C1754" s="29"/>
      <c r="D1754" s="27"/>
      <c r="E1754" s="27"/>
      <c r="F1754" s="27"/>
    </row>
    <row r="1755">
      <c r="A1755" s="28"/>
      <c r="B1755" s="1"/>
      <c r="C1755" s="29"/>
      <c r="D1755" s="27"/>
      <c r="E1755" s="27"/>
      <c r="F1755" s="27"/>
    </row>
    <row r="1756">
      <c r="A1756" s="28"/>
      <c r="B1756" s="1"/>
      <c r="C1756" s="29"/>
      <c r="D1756" s="27"/>
      <c r="E1756" s="27"/>
      <c r="F1756" s="27"/>
    </row>
    <row r="1757">
      <c r="A1757" s="28"/>
      <c r="B1757" s="1"/>
      <c r="C1757" s="29"/>
      <c r="D1757" s="27"/>
      <c r="E1757" s="27"/>
      <c r="F1757" s="27"/>
    </row>
    <row r="1758">
      <c r="A1758" s="28"/>
      <c r="B1758" s="1"/>
      <c r="C1758" s="29"/>
      <c r="D1758" s="27"/>
      <c r="E1758" s="27"/>
      <c r="F1758" s="27"/>
    </row>
    <row r="1759">
      <c r="A1759" s="28"/>
      <c r="B1759" s="1"/>
      <c r="C1759" s="29"/>
      <c r="D1759" s="27"/>
      <c r="E1759" s="27"/>
      <c r="F1759" s="27"/>
    </row>
    <row r="1760">
      <c r="A1760" s="28"/>
      <c r="B1760" s="1"/>
      <c r="C1760" s="29"/>
      <c r="D1760" s="27"/>
      <c r="E1760" s="27"/>
      <c r="F1760" s="27"/>
    </row>
    <row r="1761">
      <c r="A1761" s="28"/>
      <c r="B1761" s="1"/>
      <c r="C1761" s="29"/>
      <c r="D1761" s="27"/>
      <c r="E1761" s="27"/>
      <c r="F1761" s="27"/>
    </row>
    <row r="1762">
      <c r="A1762" s="28"/>
      <c r="B1762" s="1"/>
      <c r="C1762" s="29"/>
      <c r="D1762" s="27"/>
      <c r="E1762" s="27"/>
      <c r="F1762" s="27"/>
    </row>
    <row r="1763">
      <c r="A1763" s="28"/>
      <c r="B1763" s="1"/>
      <c r="C1763" s="29"/>
      <c r="D1763" s="27"/>
      <c r="E1763" s="27"/>
      <c r="F1763" s="27"/>
    </row>
    <row r="1764">
      <c r="A1764" s="28"/>
      <c r="B1764" s="1"/>
      <c r="C1764" s="29"/>
      <c r="D1764" s="27"/>
      <c r="E1764" s="27"/>
      <c r="F1764" s="27"/>
    </row>
    <row r="1765">
      <c r="A1765" s="28"/>
      <c r="B1765" s="1"/>
      <c r="C1765" s="29"/>
      <c r="D1765" s="27"/>
      <c r="E1765" s="27"/>
      <c r="F1765" s="27"/>
    </row>
    <row r="1766">
      <c r="A1766" s="28"/>
      <c r="B1766" s="1"/>
      <c r="C1766" s="29"/>
      <c r="D1766" s="27"/>
      <c r="E1766" s="27"/>
      <c r="F1766" s="27"/>
    </row>
    <row r="1767">
      <c r="A1767" s="28"/>
      <c r="B1767" s="1"/>
      <c r="C1767" s="29"/>
      <c r="D1767" s="27"/>
      <c r="E1767" s="27"/>
      <c r="F1767" s="27"/>
    </row>
    <row r="1768">
      <c r="A1768" s="28"/>
      <c r="B1768" s="1"/>
      <c r="C1768" s="29"/>
      <c r="D1768" s="27"/>
      <c r="E1768" s="27"/>
      <c r="F1768" s="27"/>
    </row>
    <row r="1769">
      <c r="A1769" s="28"/>
      <c r="B1769" s="1"/>
      <c r="C1769" s="29"/>
      <c r="D1769" s="27"/>
      <c r="E1769" s="27"/>
      <c r="F1769" s="27"/>
    </row>
    <row r="1770">
      <c r="A1770" s="28"/>
      <c r="B1770" s="1"/>
      <c r="C1770" s="29"/>
      <c r="D1770" s="27"/>
      <c r="E1770" s="27"/>
      <c r="F1770" s="27"/>
    </row>
    <row r="1771">
      <c r="A1771" s="28"/>
      <c r="B1771" s="1"/>
      <c r="C1771" s="29"/>
      <c r="D1771" s="27"/>
      <c r="E1771" s="27"/>
      <c r="F1771" s="27"/>
    </row>
    <row r="1772">
      <c r="A1772" s="28"/>
      <c r="B1772" s="1"/>
      <c r="C1772" s="29"/>
      <c r="D1772" s="27"/>
      <c r="E1772" s="27"/>
      <c r="F1772" s="27"/>
    </row>
    <row r="1773">
      <c r="A1773" s="28"/>
      <c r="B1773" s="1"/>
      <c r="C1773" s="29"/>
      <c r="D1773" s="27"/>
      <c r="E1773" s="27"/>
      <c r="F1773" s="27"/>
    </row>
    <row r="1774">
      <c r="A1774" s="28"/>
      <c r="B1774" s="1"/>
      <c r="C1774" s="29"/>
      <c r="D1774" s="27"/>
      <c r="E1774" s="27"/>
      <c r="F1774" s="27"/>
    </row>
    <row r="1775">
      <c r="A1775" s="28"/>
      <c r="B1775" s="1"/>
      <c r="C1775" s="29"/>
      <c r="D1775" s="27"/>
      <c r="E1775" s="27"/>
      <c r="F1775" s="27"/>
    </row>
    <row r="1776">
      <c r="A1776" s="28"/>
      <c r="B1776" s="1"/>
      <c r="C1776" s="29"/>
      <c r="D1776" s="27"/>
      <c r="E1776" s="27"/>
      <c r="F1776" s="27"/>
    </row>
    <row r="1777">
      <c r="A1777" s="28"/>
      <c r="B1777" s="1"/>
      <c r="C1777" s="29"/>
      <c r="D1777" s="27"/>
      <c r="E1777" s="27"/>
      <c r="F1777" s="27"/>
    </row>
    <row r="1778">
      <c r="A1778" s="28"/>
      <c r="B1778" s="1"/>
      <c r="C1778" s="29"/>
      <c r="D1778" s="27"/>
      <c r="E1778" s="27"/>
      <c r="F1778" s="27"/>
    </row>
    <row r="1779">
      <c r="A1779" s="28"/>
      <c r="B1779" s="1"/>
      <c r="C1779" s="29"/>
      <c r="D1779" s="27"/>
      <c r="E1779" s="27"/>
      <c r="F1779" s="27"/>
    </row>
    <row r="1780">
      <c r="A1780" s="28"/>
      <c r="B1780" s="1"/>
      <c r="C1780" s="29"/>
      <c r="D1780" s="27"/>
      <c r="E1780" s="27"/>
      <c r="F1780" s="27"/>
    </row>
    <row r="1781">
      <c r="A1781" s="28"/>
      <c r="B1781" s="1"/>
      <c r="C1781" s="29"/>
      <c r="D1781" s="27"/>
      <c r="E1781" s="27"/>
      <c r="F1781" s="27"/>
    </row>
    <row r="1782">
      <c r="A1782" s="28"/>
      <c r="B1782" s="1"/>
      <c r="C1782" s="29"/>
      <c r="D1782" s="27"/>
      <c r="E1782" s="27"/>
      <c r="F1782" s="27"/>
    </row>
    <row r="1783">
      <c r="A1783" s="28"/>
      <c r="B1783" s="1"/>
      <c r="C1783" s="29"/>
      <c r="D1783" s="27"/>
      <c r="E1783" s="27"/>
      <c r="F1783" s="27"/>
    </row>
    <row r="1784">
      <c r="A1784" s="28"/>
      <c r="B1784" s="1"/>
      <c r="C1784" s="29"/>
      <c r="D1784" s="27"/>
      <c r="E1784" s="27"/>
      <c r="F1784" s="27"/>
    </row>
    <row r="1785">
      <c r="A1785" s="28"/>
      <c r="B1785" s="1"/>
      <c r="C1785" s="29"/>
      <c r="D1785" s="27"/>
      <c r="E1785" s="27"/>
      <c r="F1785" s="27"/>
    </row>
    <row r="1786">
      <c r="A1786" s="28"/>
      <c r="B1786" s="1"/>
      <c r="C1786" s="29"/>
      <c r="D1786" s="27"/>
      <c r="E1786" s="27"/>
      <c r="F1786" s="27"/>
    </row>
    <row r="1787">
      <c r="A1787" s="28"/>
      <c r="B1787" s="1"/>
      <c r="C1787" s="29"/>
      <c r="D1787" s="27"/>
      <c r="E1787" s="27"/>
      <c r="F1787" s="27"/>
    </row>
    <row r="1788">
      <c r="A1788" s="28"/>
      <c r="B1788" s="1"/>
      <c r="C1788" s="29"/>
      <c r="D1788" s="27"/>
      <c r="E1788" s="27"/>
      <c r="F1788" s="27"/>
    </row>
    <row r="1789">
      <c r="A1789" s="28"/>
      <c r="B1789" s="1"/>
      <c r="C1789" s="29"/>
      <c r="D1789" s="27"/>
      <c r="E1789" s="27"/>
      <c r="F1789" s="27"/>
    </row>
    <row r="1790">
      <c r="A1790" s="28"/>
      <c r="B1790" s="1"/>
      <c r="C1790" s="29"/>
      <c r="D1790" s="27"/>
      <c r="E1790" s="27"/>
      <c r="F1790" s="27"/>
    </row>
    <row r="1791">
      <c r="A1791" s="28"/>
      <c r="B1791" s="1"/>
      <c r="C1791" s="29"/>
      <c r="D1791" s="27"/>
      <c r="E1791" s="27"/>
      <c r="F1791" s="27"/>
    </row>
    <row r="1792">
      <c r="A1792" s="28"/>
      <c r="B1792" s="1"/>
      <c r="C1792" s="29"/>
      <c r="D1792" s="27"/>
      <c r="E1792" s="27"/>
      <c r="F1792" s="27"/>
    </row>
    <row r="1793">
      <c r="A1793" s="28"/>
      <c r="B1793" s="1"/>
      <c r="C1793" s="29"/>
      <c r="D1793" s="27"/>
      <c r="E1793" s="27"/>
      <c r="F1793" s="27"/>
    </row>
    <row r="1794">
      <c r="A1794" s="28"/>
      <c r="B1794" s="1"/>
      <c r="C1794" s="29"/>
      <c r="D1794" s="27"/>
      <c r="E1794" s="27"/>
      <c r="F1794" s="27"/>
    </row>
    <row r="1795">
      <c r="A1795" s="28"/>
      <c r="B1795" s="1"/>
      <c r="C1795" s="29"/>
      <c r="D1795" s="27"/>
      <c r="E1795" s="27"/>
      <c r="F1795" s="27"/>
    </row>
    <row r="1796">
      <c r="A1796" s="28"/>
      <c r="B1796" s="1"/>
      <c r="C1796" s="29"/>
      <c r="D1796" s="27"/>
      <c r="E1796" s="27"/>
      <c r="F1796" s="27"/>
    </row>
    <row r="1797">
      <c r="A1797" s="28"/>
      <c r="B1797" s="1"/>
      <c r="C1797" s="29"/>
      <c r="D1797" s="27"/>
      <c r="E1797" s="27"/>
      <c r="F1797" s="27"/>
    </row>
    <row r="1798">
      <c r="A1798" s="28"/>
      <c r="B1798" s="1"/>
      <c r="C1798" s="29"/>
      <c r="D1798" s="27"/>
      <c r="E1798" s="27"/>
      <c r="F1798" s="27"/>
    </row>
    <row r="1799">
      <c r="A1799" s="28"/>
      <c r="B1799" s="1"/>
      <c r="C1799" s="29"/>
      <c r="D1799" s="27"/>
      <c r="E1799" s="27"/>
      <c r="F1799" s="27"/>
    </row>
    <row r="1800">
      <c r="A1800" s="28"/>
      <c r="B1800" s="1"/>
      <c r="C1800" s="29"/>
      <c r="D1800" s="27"/>
      <c r="E1800" s="27"/>
      <c r="F1800" s="27"/>
    </row>
    <row r="1801">
      <c r="A1801" s="28"/>
      <c r="B1801" s="1"/>
      <c r="C1801" s="29"/>
      <c r="D1801" s="27"/>
      <c r="E1801" s="27"/>
      <c r="F1801" s="27"/>
    </row>
    <row r="1802">
      <c r="A1802" s="28"/>
      <c r="B1802" s="1"/>
      <c r="C1802" s="29"/>
      <c r="D1802" s="27"/>
      <c r="E1802" s="27"/>
      <c r="F1802" s="27"/>
    </row>
    <row r="1803">
      <c r="A1803" s="28"/>
      <c r="B1803" s="1"/>
      <c r="C1803" s="29"/>
      <c r="D1803" s="27"/>
      <c r="E1803" s="27"/>
      <c r="F1803" s="27"/>
    </row>
    <row r="1804">
      <c r="A1804" s="28"/>
      <c r="B1804" s="1"/>
      <c r="C1804" s="29"/>
      <c r="D1804" s="27"/>
      <c r="E1804" s="27"/>
      <c r="F1804" s="27"/>
    </row>
    <row r="1805">
      <c r="A1805" s="28"/>
      <c r="B1805" s="1"/>
      <c r="C1805" s="29"/>
      <c r="D1805" s="27"/>
      <c r="E1805" s="27"/>
      <c r="F1805" s="27"/>
    </row>
    <row r="1806">
      <c r="A1806" s="28"/>
      <c r="B1806" s="1"/>
      <c r="C1806" s="29"/>
      <c r="D1806" s="27"/>
      <c r="E1806" s="27"/>
      <c r="F1806" s="27"/>
    </row>
    <row r="1807">
      <c r="A1807" s="28"/>
      <c r="B1807" s="1"/>
      <c r="C1807" s="29"/>
      <c r="D1807" s="27"/>
      <c r="E1807" s="27"/>
      <c r="F1807" s="27"/>
    </row>
    <row r="1808">
      <c r="A1808" s="28"/>
      <c r="B1808" s="1"/>
      <c r="C1808" s="29"/>
      <c r="D1808" s="27"/>
      <c r="E1808" s="27"/>
      <c r="F1808" s="27"/>
    </row>
    <row r="1809">
      <c r="A1809" s="28"/>
      <c r="B1809" s="1"/>
      <c r="C1809" s="29"/>
      <c r="D1809" s="27"/>
      <c r="E1809" s="27"/>
      <c r="F1809" s="27"/>
    </row>
    <row r="1810">
      <c r="A1810" s="28"/>
      <c r="B1810" s="1"/>
      <c r="C1810" s="29"/>
      <c r="D1810" s="27"/>
      <c r="E1810" s="27"/>
      <c r="F1810" s="27"/>
    </row>
    <row r="1811">
      <c r="A1811" s="28"/>
      <c r="B1811" s="1"/>
      <c r="C1811" s="29"/>
      <c r="D1811" s="27"/>
      <c r="E1811" s="27"/>
      <c r="F1811" s="27"/>
    </row>
    <row r="1812">
      <c r="A1812" s="28"/>
      <c r="B1812" s="1"/>
      <c r="C1812" s="29"/>
      <c r="D1812" s="27"/>
      <c r="E1812" s="27"/>
      <c r="F1812" s="27"/>
    </row>
    <row r="1813">
      <c r="A1813" s="28"/>
      <c r="B1813" s="1"/>
      <c r="C1813" s="29"/>
      <c r="D1813" s="27"/>
      <c r="E1813" s="27"/>
      <c r="F1813" s="27"/>
    </row>
    <row r="1814">
      <c r="A1814" s="28"/>
      <c r="B1814" s="1"/>
      <c r="C1814" s="29"/>
      <c r="D1814" s="27"/>
      <c r="E1814" s="27"/>
      <c r="F1814" s="27"/>
    </row>
    <row r="1815">
      <c r="A1815" s="28"/>
      <c r="B1815" s="1"/>
      <c r="C1815" s="29"/>
      <c r="D1815" s="27"/>
      <c r="E1815" s="27"/>
      <c r="F1815" s="27"/>
    </row>
    <row r="1816">
      <c r="A1816" s="28"/>
      <c r="B1816" s="1"/>
      <c r="C1816" s="29"/>
      <c r="D1816" s="27"/>
      <c r="E1816" s="27"/>
      <c r="F1816" s="27"/>
    </row>
    <row r="1817">
      <c r="A1817" s="28"/>
      <c r="B1817" s="1"/>
      <c r="C1817" s="29"/>
      <c r="D1817" s="27"/>
      <c r="E1817" s="27"/>
      <c r="F1817" s="27"/>
    </row>
    <row r="1818">
      <c r="A1818" s="28"/>
      <c r="B1818" s="1"/>
      <c r="C1818" s="29"/>
      <c r="D1818" s="27"/>
      <c r="E1818" s="27"/>
      <c r="F1818" s="27"/>
    </row>
    <row r="1819">
      <c r="A1819" s="28"/>
      <c r="B1819" s="1"/>
      <c r="C1819" s="29"/>
      <c r="D1819" s="27"/>
      <c r="E1819" s="27"/>
      <c r="F1819" s="27"/>
    </row>
    <row r="1820">
      <c r="A1820" s="28"/>
      <c r="B1820" s="1"/>
      <c r="C1820" s="29"/>
      <c r="D1820" s="27"/>
      <c r="E1820" s="27"/>
      <c r="F1820" s="27"/>
    </row>
    <row r="1821">
      <c r="A1821" s="28"/>
      <c r="B1821" s="1"/>
      <c r="C1821" s="29"/>
      <c r="D1821" s="27"/>
      <c r="E1821" s="27"/>
      <c r="F1821" s="27"/>
    </row>
    <row r="1822">
      <c r="A1822" s="28"/>
      <c r="B1822" s="1"/>
      <c r="C1822" s="29"/>
      <c r="D1822" s="27"/>
      <c r="E1822" s="27"/>
      <c r="F1822" s="27"/>
    </row>
    <row r="1823">
      <c r="A1823" s="28"/>
      <c r="B1823" s="1"/>
      <c r="C1823" s="29"/>
      <c r="D1823" s="27"/>
      <c r="E1823" s="27"/>
      <c r="F1823" s="27"/>
    </row>
    <row r="1824">
      <c r="A1824" s="28"/>
      <c r="B1824" s="1"/>
      <c r="C1824" s="29"/>
      <c r="D1824" s="27"/>
      <c r="E1824" s="27"/>
      <c r="F1824" s="27"/>
    </row>
    <row r="1825">
      <c r="A1825" s="28"/>
      <c r="B1825" s="1"/>
      <c r="C1825" s="29"/>
      <c r="D1825" s="27"/>
      <c r="E1825" s="27"/>
      <c r="F1825" s="27"/>
    </row>
    <row r="1826">
      <c r="A1826" s="28"/>
      <c r="B1826" s="1"/>
      <c r="C1826" s="29"/>
      <c r="D1826" s="27"/>
      <c r="E1826" s="27"/>
      <c r="F1826" s="27"/>
    </row>
    <row r="1827">
      <c r="A1827" s="28"/>
      <c r="B1827" s="1"/>
      <c r="C1827" s="29"/>
      <c r="D1827" s="27"/>
      <c r="E1827" s="27"/>
      <c r="F1827" s="27"/>
    </row>
    <row r="1828">
      <c r="A1828" s="28"/>
      <c r="B1828" s="1"/>
      <c r="C1828" s="29"/>
      <c r="D1828" s="27"/>
      <c r="E1828" s="27"/>
      <c r="F1828" s="27"/>
    </row>
    <row r="1829">
      <c r="A1829" s="28"/>
      <c r="B1829" s="1"/>
      <c r="C1829" s="29"/>
      <c r="D1829" s="27"/>
      <c r="E1829" s="27"/>
      <c r="F1829" s="27"/>
    </row>
    <row r="1830">
      <c r="A1830" s="28"/>
      <c r="B1830" s="1"/>
      <c r="C1830" s="29"/>
      <c r="D1830" s="27"/>
      <c r="E1830" s="27"/>
      <c r="F1830" s="27"/>
    </row>
    <row r="1831">
      <c r="A1831" s="28"/>
      <c r="B1831" s="1"/>
      <c r="C1831" s="29"/>
      <c r="D1831" s="27"/>
      <c r="E1831" s="27"/>
      <c r="F1831" s="27"/>
    </row>
    <row r="1832">
      <c r="A1832" s="28"/>
      <c r="B1832" s="1"/>
      <c r="C1832" s="29"/>
      <c r="D1832" s="27"/>
      <c r="E1832" s="27"/>
      <c r="F1832" s="27"/>
    </row>
    <row r="1833">
      <c r="A1833" s="28"/>
      <c r="B1833" s="1"/>
      <c r="C1833" s="29"/>
      <c r="D1833" s="27"/>
      <c r="E1833" s="27"/>
      <c r="F1833" s="27"/>
    </row>
    <row r="1834">
      <c r="A1834" s="28"/>
      <c r="B1834" s="1"/>
      <c r="C1834" s="29"/>
      <c r="D1834" s="27"/>
      <c r="E1834" s="27"/>
      <c r="F1834" s="27"/>
    </row>
    <row r="1835">
      <c r="A1835" s="28"/>
      <c r="B1835" s="1"/>
      <c r="C1835" s="29"/>
      <c r="D1835" s="27"/>
      <c r="E1835" s="27"/>
      <c r="F1835" s="27"/>
    </row>
    <row r="1836">
      <c r="A1836" s="28"/>
      <c r="B1836" s="1"/>
      <c r="C1836" s="29"/>
      <c r="D1836" s="27"/>
      <c r="E1836" s="27"/>
      <c r="F1836" s="27"/>
    </row>
    <row r="1837">
      <c r="A1837" s="28"/>
      <c r="B1837" s="1"/>
      <c r="C1837" s="29"/>
      <c r="D1837" s="27"/>
      <c r="E1837" s="27"/>
      <c r="F1837" s="27"/>
    </row>
    <row r="1838">
      <c r="A1838" s="28"/>
      <c r="B1838" s="1"/>
      <c r="C1838" s="29"/>
      <c r="D1838" s="27"/>
      <c r="E1838" s="27"/>
      <c r="F1838" s="27"/>
    </row>
    <row r="1839">
      <c r="A1839" s="28"/>
      <c r="B1839" s="1"/>
      <c r="C1839" s="29"/>
      <c r="D1839" s="27"/>
      <c r="E1839" s="27"/>
      <c r="F1839" s="27"/>
    </row>
    <row r="1840">
      <c r="A1840" s="28"/>
      <c r="B1840" s="1"/>
      <c r="C1840" s="29"/>
      <c r="D1840" s="27"/>
      <c r="E1840" s="27"/>
      <c r="F1840" s="27"/>
    </row>
    <row r="1841">
      <c r="A1841" s="28"/>
      <c r="B1841" s="1"/>
      <c r="C1841" s="29"/>
      <c r="D1841" s="27"/>
      <c r="E1841" s="27"/>
      <c r="F1841" s="27"/>
    </row>
    <row r="1842">
      <c r="A1842" s="28"/>
      <c r="B1842" s="1"/>
      <c r="C1842" s="29"/>
      <c r="D1842" s="27"/>
      <c r="E1842" s="27"/>
      <c r="F1842" s="27"/>
    </row>
    <row r="1843">
      <c r="A1843" s="28"/>
      <c r="B1843" s="1"/>
      <c r="C1843" s="29"/>
      <c r="D1843" s="27"/>
      <c r="E1843" s="27"/>
      <c r="F1843" s="27"/>
    </row>
    <row r="1844">
      <c r="A1844" s="28"/>
      <c r="B1844" s="1"/>
      <c r="C1844" s="29"/>
      <c r="D1844" s="27"/>
      <c r="E1844" s="27"/>
      <c r="F1844" s="27"/>
    </row>
    <row r="1845">
      <c r="A1845" s="28"/>
      <c r="B1845" s="1"/>
      <c r="C1845" s="29"/>
      <c r="D1845" s="27"/>
      <c r="E1845" s="27"/>
      <c r="F1845" s="27"/>
    </row>
    <row r="1846">
      <c r="A1846" s="28"/>
      <c r="B1846" s="1"/>
      <c r="C1846" s="29"/>
      <c r="D1846" s="27"/>
      <c r="E1846" s="27"/>
      <c r="F1846" s="27"/>
    </row>
    <row r="1847">
      <c r="A1847" s="28"/>
      <c r="B1847" s="1"/>
      <c r="C1847" s="29"/>
      <c r="D1847" s="27"/>
      <c r="E1847" s="27"/>
      <c r="F1847" s="27"/>
    </row>
    <row r="1848">
      <c r="A1848" s="28"/>
      <c r="B1848" s="1"/>
      <c r="C1848" s="29"/>
      <c r="D1848" s="27"/>
      <c r="E1848" s="27"/>
      <c r="F1848" s="27"/>
    </row>
    <row r="1849">
      <c r="A1849" s="28"/>
      <c r="B1849" s="1"/>
      <c r="C1849" s="29"/>
      <c r="D1849" s="27"/>
      <c r="E1849" s="27"/>
      <c r="F1849" s="27"/>
    </row>
    <row r="1850">
      <c r="A1850" s="28"/>
      <c r="B1850" s="1"/>
      <c r="C1850" s="29"/>
      <c r="D1850" s="27"/>
      <c r="E1850" s="27"/>
      <c r="F1850" s="27"/>
    </row>
    <row r="1851">
      <c r="A1851" s="28"/>
      <c r="B1851" s="1"/>
      <c r="C1851" s="29"/>
      <c r="D1851" s="27"/>
      <c r="E1851" s="27"/>
      <c r="F1851" s="27"/>
    </row>
    <row r="1852">
      <c r="A1852" s="28"/>
      <c r="B1852" s="1"/>
      <c r="C1852" s="29"/>
      <c r="D1852" s="27"/>
      <c r="E1852" s="27"/>
      <c r="F1852" s="27"/>
    </row>
    <row r="1853">
      <c r="A1853" s="28"/>
      <c r="B1853" s="1"/>
      <c r="C1853" s="29"/>
      <c r="D1853" s="27"/>
      <c r="E1853" s="27"/>
      <c r="F1853" s="27"/>
    </row>
    <row r="1854">
      <c r="A1854" s="28"/>
      <c r="B1854" s="1"/>
      <c r="C1854" s="29"/>
      <c r="D1854" s="27"/>
      <c r="E1854" s="27"/>
      <c r="F1854" s="27"/>
    </row>
    <row r="1855">
      <c r="A1855" s="28"/>
      <c r="B1855" s="1"/>
      <c r="C1855" s="29"/>
      <c r="D1855" s="27"/>
      <c r="E1855" s="27"/>
      <c r="F1855" s="27"/>
    </row>
    <row r="1856">
      <c r="A1856" s="28"/>
      <c r="B1856" s="1"/>
      <c r="C1856" s="29"/>
      <c r="D1856" s="27"/>
      <c r="E1856" s="27"/>
      <c r="F1856" s="27"/>
    </row>
    <row r="1857">
      <c r="A1857" s="28"/>
      <c r="B1857" s="1"/>
      <c r="C1857" s="29"/>
      <c r="D1857" s="27"/>
      <c r="E1857" s="27"/>
      <c r="F1857" s="27"/>
    </row>
    <row r="1858">
      <c r="A1858" s="28"/>
      <c r="B1858" s="1"/>
      <c r="C1858" s="29"/>
      <c r="D1858" s="27"/>
      <c r="E1858" s="27"/>
      <c r="F1858" s="27"/>
    </row>
    <row r="1859">
      <c r="A1859" s="28"/>
      <c r="B1859" s="1"/>
      <c r="C1859" s="29"/>
      <c r="D1859" s="27"/>
      <c r="E1859" s="27"/>
      <c r="F1859" s="27"/>
    </row>
    <row r="1860">
      <c r="A1860" s="28"/>
      <c r="B1860" s="1"/>
      <c r="C1860" s="29"/>
      <c r="D1860" s="27"/>
      <c r="E1860" s="27"/>
      <c r="F1860" s="27"/>
    </row>
    <row r="1861">
      <c r="A1861" s="28"/>
      <c r="B1861" s="1"/>
      <c r="C1861" s="29"/>
      <c r="D1861" s="27"/>
      <c r="E1861" s="27"/>
      <c r="F1861" s="27"/>
    </row>
    <row r="1862">
      <c r="A1862" s="28"/>
      <c r="B1862" s="1"/>
      <c r="C1862" s="29"/>
      <c r="D1862" s="27"/>
      <c r="E1862" s="27"/>
      <c r="F1862" s="27"/>
    </row>
    <row r="1863">
      <c r="A1863" s="28"/>
      <c r="B1863" s="1"/>
      <c r="C1863" s="29"/>
      <c r="D1863" s="27"/>
      <c r="E1863" s="27"/>
      <c r="F1863" s="27"/>
    </row>
    <row r="1864">
      <c r="A1864" s="28"/>
      <c r="B1864" s="1"/>
      <c r="C1864" s="29"/>
      <c r="D1864" s="27"/>
      <c r="E1864" s="27"/>
      <c r="F1864" s="27"/>
    </row>
    <row r="1865">
      <c r="A1865" s="28"/>
      <c r="B1865" s="1"/>
      <c r="C1865" s="29"/>
      <c r="D1865" s="27"/>
      <c r="E1865" s="27"/>
      <c r="F1865" s="27"/>
    </row>
    <row r="1866">
      <c r="A1866" s="28"/>
      <c r="B1866" s="1"/>
      <c r="C1866" s="29"/>
      <c r="D1866" s="27"/>
      <c r="E1866" s="27"/>
      <c r="F1866" s="27"/>
    </row>
    <row r="1867">
      <c r="A1867" s="28"/>
      <c r="B1867" s="1"/>
      <c r="C1867" s="29"/>
      <c r="D1867" s="27"/>
      <c r="E1867" s="27"/>
      <c r="F1867" s="27"/>
    </row>
    <row r="1868">
      <c r="A1868" s="28"/>
      <c r="B1868" s="1"/>
      <c r="C1868" s="29"/>
      <c r="D1868" s="27"/>
      <c r="E1868" s="27"/>
      <c r="F1868" s="27"/>
    </row>
    <row r="1869">
      <c r="A1869" s="28"/>
      <c r="B1869" s="1"/>
      <c r="C1869" s="29"/>
      <c r="D1869" s="27"/>
      <c r="E1869" s="27"/>
      <c r="F1869" s="27"/>
    </row>
    <row r="1870">
      <c r="A1870" s="28"/>
      <c r="B1870" s="1"/>
      <c r="C1870" s="29"/>
      <c r="D1870" s="27"/>
      <c r="E1870" s="27"/>
      <c r="F1870" s="27"/>
    </row>
    <row r="1871">
      <c r="A1871" s="28"/>
      <c r="B1871" s="1"/>
      <c r="C1871" s="29"/>
      <c r="D1871" s="27"/>
      <c r="E1871" s="27"/>
      <c r="F1871" s="27"/>
    </row>
    <row r="1872">
      <c r="A1872" s="28"/>
      <c r="B1872" s="1"/>
      <c r="C1872" s="29"/>
      <c r="D1872" s="27"/>
      <c r="E1872" s="27"/>
      <c r="F1872" s="27"/>
    </row>
    <row r="1873">
      <c r="A1873" s="28"/>
      <c r="B1873" s="1"/>
      <c r="C1873" s="29"/>
      <c r="D1873" s="27"/>
      <c r="E1873" s="27"/>
      <c r="F1873" s="27"/>
    </row>
    <row r="1874">
      <c r="A1874" s="28"/>
      <c r="B1874" s="1"/>
      <c r="C1874" s="29"/>
      <c r="D1874" s="27"/>
      <c r="E1874" s="27"/>
      <c r="F1874" s="27"/>
    </row>
    <row r="1875">
      <c r="A1875" s="28"/>
      <c r="B1875" s="1"/>
      <c r="C1875" s="29"/>
      <c r="D1875" s="27"/>
      <c r="E1875" s="27"/>
      <c r="F1875" s="27"/>
    </row>
    <row r="1876">
      <c r="A1876" s="28"/>
      <c r="B1876" s="1"/>
      <c r="C1876" s="29"/>
      <c r="D1876" s="27"/>
      <c r="E1876" s="27"/>
      <c r="F1876" s="27"/>
    </row>
    <row r="1877">
      <c r="A1877" s="28"/>
      <c r="B1877" s="1"/>
      <c r="C1877" s="29"/>
      <c r="D1877" s="27"/>
      <c r="E1877" s="27"/>
      <c r="F1877" s="27"/>
    </row>
    <row r="1878">
      <c r="A1878" s="28"/>
      <c r="B1878" s="1"/>
      <c r="C1878" s="29"/>
      <c r="D1878" s="27"/>
      <c r="E1878" s="27"/>
      <c r="F1878" s="27"/>
    </row>
    <row r="1879">
      <c r="A1879" s="28"/>
      <c r="B1879" s="1"/>
      <c r="C1879" s="29"/>
      <c r="D1879" s="27"/>
      <c r="E1879" s="27"/>
      <c r="F1879" s="27"/>
    </row>
    <row r="1880">
      <c r="A1880" s="28"/>
      <c r="B1880" s="1"/>
      <c r="C1880" s="29"/>
      <c r="D1880" s="27"/>
      <c r="E1880" s="27"/>
      <c r="F1880" s="27"/>
    </row>
    <row r="1881">
      <c r="A1881" s="28"/>
      <c r="B1881" s="1"/>
      <c r="C1881" s="29"/>
      <c r="D1881" s="27"/>
      <c r="E1881" s="27"/>
      <c r="F1881" s="27"/>
    </row>
    <row r="1882">
      <c r="A1882" s="28"/>
      <c r="B1882" s="1"/>
      <c r="C1882" s="29"/>
      <c r="D1882" s="27"/>
      <c r="E1882" s="27"/>
      <c r="F1882" s="27"/>
    </row>
    <row r="1883">
      <c r="A1883" s="28"/>
      <c r="B1883" s="1"/>
      <c r="C1883" s="29"/>
      <c r="D1883" s="27"/>
      <c r="E1883" s="27"/>
      <c r="F1883" s="27"/>
    </row>
    <row r="1884">
      <c r="A1884" s="28"/>
      <c r="B1884" s="1"/>
      <c r="C1884" s="29"/>
      <c r="D1884" s="27"/>
      <c r="E1884" s="27"/>
      <c r="F1884" s="27"/>
    </row>
    <row r="1885">
      <c r="A1885" s="28"/>
      <c r="B1885" s="1"/>
      <c r="C1885" s="29"/>
      <c r="D1885" s="27"/>
      <c r="E1885" s="27"/>
      <c r="F1885" s="27"/>
    </row>
    <row r="1886">
      <c r="A1886" s="28"/>
      <c r="B1886" s="1"/>
      <c r="C1886" s="29"/>
      <c r="D1886" s="27"/>
      <c r="E1886" s="27"/>
      <c r="F1886" s="27"/>
    </row>
    <row r="1887">
      <c r="A1887" s="28"/>
      <c r="B1887" s="1"/>
      <c r="C1887" s="29"/>
      <c r="D1887" s="27"/>
      <c r="E1887" s="27"/>
      <c r="F1887" s="27"/>
    </row>
    <row r="1888">
      <c r="A1888" s="28"/>
      <c r="B1888" s="1"/>
      <c r="C1888" s="29"/>
      <c r="D1888" s="27"/>
      <c r="E1888" s="27"/>
      <c r="F1888" s="27"/>
    </row>
    <row r="1889">
      <c r="A1889" s="28"/>
      <c r="B1889" s="1"/>
      <c r="C1889" s="29"/>
      <c r="D1889" s="27"/>
      <c r="E1889" s="27"/>
      <c r="F1889" s="27"/>
    </row>
    <row r="1890">
      <c r="A1890" s="28"/>
      <c r="B1890" s="1"/>
      <c r="C1890" s="29"/>
      <c r="D1890" s="27"/>
      <c r="E1890" s="27"/>
      <c r="F1890" s="27"/>
    </row>
    <row r="1891">
      <c r="A1891" s="28"/>
      <c r="B1891" s="1"/>
      <c r="C1891" s="29"/>
      <c r="D1891" s="27"/>
      <c r="E1891" s="27"/>
      <c r="F1891" s="27"/>
    </row>
    <row r="1892">
      <c r="A1892" s="28"/>
      <c r="B1892" s="1"/>
      <c r="C1892" s="29"/>
      <c r="D1892" s="27"/>
      <c r="E1892" s="27"/>
      <c r="F1892" s="27"/>
    </row>
    <row r="1893">
      <c r="A1893" s="28"/>
      <c r="B1893" s="1"/>
      <c r="C1893" s="29"/>
      <c r="D1893" s="27"/>
      <c r="E1893" s="27"/>
      <c r="F1893" s="27"/>
    </row>
    <row r="1894">
      <c r="A1894" s="28"/>
      <c r="B1894" s="1"/>
      <c r="C1894" s="29"/>
      <c r="D1894" s="27"/>
      <c r="E1894" s="27"/>
      <c r="F1894" s="27"/>
    </row>
    <row r="1895">
      <c r="A1895" s="28"/>
      <c r="B1895" s="1"/>
      <c r="C1895" s="29"/>
      <c r="D1895" s="27"/>
      <c r="E1895" s="27"/>
      <c r="F1895" s="27"/>
    </row>
    <row r="1896">
      <c r="A1896" s="28"/>
      <c r="B1896" s="1"/>
      <c r="C1896" s="29"/>
      <c r="D1896" s="27"/>
      <c r="E1896" s="27"/>
      <c r="F1896" s="27"/>
    </row>
    <row r="1897">
      <c r="A1897" s="28"/>
      <c r="B1897" s="1"/>
      <c r="C1897" s="29"/>
      <c r="D1897" s="27"/>
      <c r="E1897" s="27"/>
      <c r="F1897" s="27"/>
    </row>
    <row r="1898">
      <c r="A1898" s="28"/>
      <c r="B1898" s="1"/>
      <c r="C1898" s="29"/>
      <c r="D1898" s="27"/>
      <c r="E1898" s="27"/>
      <c r="F1898" s="27"/>
    </row>
    <row r="1899">
      <c r="A1899" s="28"/>
      <c r="B1899" s="1"/>
      <c r="C1899" s="29"/>
      <c r="D1899" s="27"/>
      <c r="E1899" s="27"/>
      <c r="F1899" s="27"/>
    </row>
    <row r="1900">
      <c r="A1900" s="28"/>
      <c r="B1900" s="1"/>
      <c r="C1900" s="29"/>
      <c r="D1900" s="27"/>
      <c r="E1900" s="27"/>
      <c r="F1900" s="27"/>
    </row>
    <row r="1901">
      <c r="A1901" s="28"/>
      <c r="B1901" s="1"/>
      <c r="C1901" s="29"/>
      <c r="D1901" s="27"/>
      <c r="E1901" s="27"/>
      <c r="F1901" s="27"/>
    </row>
    <row r="1902">
      <c r="A1902" s="28"/>
      <c r="B1902" s="1"/>
      <c r="C1902" s="29"/>
      <c r="D1902" s="27"/>
      <c r="E1902" s="27"/>
      <c r="F1902" s="27"/>
    </row>
    <row r="1903">
      <c r="A1903" s="28"/>
      <c r="B1903" s="1"/>
      <c r="C1903" s="29"/>
      <c r="D1903" s="27"/>
      <c r="E1903" s="27"/>
      <c r="F1903" s="27"/>
    </row>
    <row r="1904">
      <c r="A1904" s="28"/>
      <c r="B1904" s="1"/>
      <c r="C1904" s="29"/>
      <c r="D1904" s="27"/>
      <c r="E1904" s="27"/>
      <c r="F1904" s="27"/>
    </row>
    <row r="1905">
      <c r="A1905" s="28"/>
      <c r="B1905" s="1"/>
      <c r="C1905" s="29"/>
      <c r="D1905" s="27"/>
      <c r="E1905" s="27"/>
      <c r="F1905" s="27"/>
    </row>
    <row r="1906">
      <c r="A1906" s="28"/>
      <c r="B1906" s="1"/>
      <c r="C1906" s="29"/>
      <c r="D1906" s="27"/>
      <c r="E1906" s="27"/>
      <c r="F1906" s="27"/>
    </row>
    <row r="1907">
      <c r="A1907" s="28"/>
      <c r="B1907" s="1"/>
      <c r="C1907" s="29"/>
      <c r="D1907" s="27"/>
      <c r="E1907" s="27"/>
      <c r="F1907" s="27"/>
    </row>
    <row r="1908">
      <c r="A1908" s="28"/>
      <c r="B1908" s="1"/>
      <c r="C1908" s="29"/>
      <c r="D1908" s="27"/>
      <c r="E1908" s="27"/>
      <c r="F1908" s="27"/>
    </row>
    <row r="1909">
      <c r="A1909" s="28"/>
      <c r="B1909" s="1"/>
      <c r="C1909" s="29"/>
      <c r="D1909" s="27"/>
      <c r="E1909" s="27"/>
      <c r="F1909" s="27"/>
    </row>
    <row r="1910">
      <c r="A1910" s="28"/>
      <c r="B1910" s="1"/>
      <c r="C1910" s="29"/>
      <c r="D1910" s="27"/>
      <c r="E1910" s="27"/>
      <c r="F1910" s="27"/>
    </row>
    <row r="1911">
      <c r="A1911" s="28"/>
      <c r="B1911" s="1"/>
      <c r="C1911" s="29"/>
      <c r="D1911" s="27"/>
      <c r="E1911" s="27"/>
      <c r="F1911" s="27"/>
    </row>
    <row r="1912">
      <c r="A1912" s="28"/>
      <c r="B1912" s="1"/>
      <c r="C1912" s="29"/>
      <c r="D1912" s="27"/>
      <c r="E1912" s="27"/>
      <c r="F1912" s="27"/>
    </row>
    <row r="1913">
      <c r="A1913" s="28"/>
      <c r="B1913" s="1"/>
      <c r="C1913" s="29"/>
      <c r="D1913" s="27"/>
      <c r="E1913" s="27"/>
      <c r="F1913" s="27"/>
    </row>
    <row r="1914">
      <c r="A1914" s="28"/>
      <c r="B1914" s="1"/>
      <c r="C1914" s="29"/>
      <c r="D1914" s="27"/>
      <c r="E1914" s="27"/>
      <c r="F1914" s="27"/>
    </row>
    <row r="1915">
      <c r="A1915" s="28"/>
      <c r="B1915" s="1"/>
      <c r="C1915" s="29"/>
      <c r="D1915" s="27"/>
      <c r="E1915" s="27"/>
      <c r="F1915" s="27"/>
    </row>
    <row r="1916">
      <c r="A1916" s="28"/>
      <c r="B1916" s="1"/>
      <c r="C1916" s="29"/>
      <c r="D1916" s="27"/>
      <c r="E1916" s="27"/>
      <c r="F1916" s="27"/>
    </row>
    <row r="1917">
      <c r="A1917" s="28"/>
      <c r="B1917" s="1"/>
      <c r="C1917" s="29"/>
      <c r="D1917" s="27"/>
      <c r="E1917" s="27"/>
      <c r="F1917" s="27"/>
    </row>
    <row r="1918">
      <c r="A1918" s="28"/>
      <c r="B1918" s="1"/>
      <c r="C1918" s="29"/>
      <c r="D1918" s="27"/>
      <c r="E1918" s="27"/>
      <c r="F1918" s="27"/>
    </row>
    <row r="1919">
      <c r="A1919" s="28"/>
      <c r="B1919" s="1"/>
      <c r="C1919" s="29"/>
      <c r="D1919" s="27"/>
      <c r="E1919" s="27"/>
      <c r="F1919" s="27"/>
    </row>
    <row r="1920">
      <c r="A1920" s="28"/>
      <c r="B1920" s="1"/>
      <c r="C1920" s="29"/>
      <c r="D1920" s="27"/>
      <c r="E1920" s="27"/>
      <c r="F1920" s="27"/>
    </row>
    <row r="1921">
      <c r="A1921" s="28"/>
      <c r="B1921" s="1"/>
      <c r="C1921" s="29"/>
      <c r="D1921" s="27"/>
      <c r="E1921" s="27"/>
      <c r="F1921" s="27"/>
    </row>
    <row r="1922">
      <c r="A1922" s="28"/>
      <c r="B1922" s="1"/>
      <c r="C1922" s="29"/>
      <c r="D1922" s="27"/>
      <c r="E1922" s="27"/>
      <c r="F1922" s="27"/>
    </row>
    <row r="1923">
      <c r="A1923" s="28"/>
      <c r="B1923" s="1"/>
      <c r="C1923" s="29"/>
      <c r="D1923" s="27"/>
      <c r="E1923" s="27"/>
      <c r="F1923" s="27"/>
    </row>
    <row r="1924">
      <c r="A1924" s="28"/>
      <c r="B1924" s="1"/>
      <c r="C1924" s="29"/>
      <c r="D1924" s="27"/>
      <c r="E1924" s="27"/>
      <c r="F1924" s="27"/>
    </row>
    <row r="1925">
      <c r="A1925" s="28"/>
      <c r="B1925" s="1"/>
      <c r="C1925" s="29"/>
      <c r="D1925" s="27"/>
      <c r="E1925" s="27"/>
      <c r="F1925" s="27"/>
    </row>
    <row r="1926">
      <c r="A1926" s="28"/>
      <c r="B1926" s="1"/>
      <c r="C1926" s="29"/>
      <c r="D1926" s="27"/>
      <c r="E1926" s="27"/>
      <c r="F1926" s="27"/>
    </row>
    <row r="1927">
      <c r="A1927" s="28"/>
      <c r="B1927" s="1"/>
      <c r="C1927" s="29"/>
      <c r="D1927" s="27"/>
      <c r="E1927" s="27"/>
      <c r="F1927" s="27"/>
    </row>
    <row r="1928">
      <c r="A1928" s="28"/>
      <c r="B1928" s="1"/>
      <c r="C1928" s="29"/>
      <c r="D1928" s="27"/>
      <c r="E1928" s="27"/>
      <c r="F1928" s="27"/>
    </row>
    <row r="1929">
      <c r="A1929" s="28"/>
      <c r="B1929" s="1"/>
      <c r="C1929" s="29"/>
      <c r="D1929" s="27"/>
      <c r="E1929" s="27"/>
      <c r="F1929" s="27"/>
    </row>
    <row r="1930">
      <c r="A1930" s="28"/>
      <c r="B1930" s="1"/>
      <c r="C1930" s="29"/>
      <c r="D1930" s="27"/>
      <c r="E1930" s="27"/>
      <c r="F1930" s="27"/>
    </row>
    <row r="1931">
      <c r="A1931" s="28"/>
      <c r="B1931" s="1"/>
      <c r="C1931" s="29"/>
      <c r="D1931" s="27"/>
      <c r="E1931" s="27"/>
      <c r="F1931" s="27"/>
    </row>
    <row r="1932">
      <c r="A1932" s="28"/>
      <c r="B1932" s="1"/>
      <c r="C1932" s="29"/>
      <c r="D1932" s="27"/>
      <c r="E1932" s="27"/>
      <c r="F1932" s="27"/>
    </row>
    <row r="1933">
      <c r="A1933" s="28"/>
      <c r="B1933" s="1"/>
      <c r="C1933" s="29"/>
      <c r="D1933" s="27"/>
      <c r="E1933" s="27"/>
      <c r="F1933" s="27"/>
    </row>
    <row r="1934">
      <c r="A1934" s="28"/>
      <c r="B1934" s="1"/>
      <c r="C1934" s="29"/>
      <c r="D1934" s="27"/>
      <c r="E1934" s="27"/>
      <c r="F1934" s="27"/>
    </row>
    <row r="1935">
      <c r="A1935" s="28"/>
      <c r="B1935" s="1"/>
      <c r="C1935" s="29"/>
      <c r="D1935" s="27"/>
      <c r="E1935" s="27"/>
      <c r="F1935" s="27"/>
    </row>
    <row r="1936">
      <c r="A1936" s="28"/>
      <c r="B1936" s="1"/>
      <c r="C1936" s="29"/>
      <c r="D1936" s="27"/>
      <c r="E1936" s="27"/>
      <c r="F1936" s="27"/>
    </row>
    <row r="1937">
      <c r="A1937" s="28"/>
      <c r="B1937" s="1"/>
      <c r="C1937" s="29"/>
      <c r="D1937" s="27"/>
      <c r="E1937" s="27"/>
      <c r="F1937" s="27"/>
    </row>
    <row r="1938">
      <c r="A1938" s="28"/>
      <c r="B1938" s="1"/>
      <c r="C1938" s="29"/>
      <c r="D1938" s="27"/>
      <c r="E1938" s="27"/>
      <c r="F1938" s="27"/>
    </row>
    <row r="1939">
      <c r="A1939" s="28"/>
      <c r="B1939" s="1"/>
      <c r="C1939" s="29"/>
      <c r="D1939" s="27"/>
      <c r="E1939" s="27"/>
      <c r="F1939" s="27"/>
    </row>
    <row r="1940">
      <c r="A1940" s="28"/>
      <c r="B1940" s="1"/>
      <c r="C1940" s="29"/>
      <c r="D1940" s="27"/>
      <c r="E1940" s="27"/>
      <c r="F1940" s="27"/>
    </row>
    <row r="1941">
      <c r="A1941" s="28"/>
      <c r="B1941" s="1"/>
      <c r="C1941" s="29"/>
      <c r="D1941" s="27"/>
      <c r="E1941" s="27"/>
      <c r="F1941" s="27"/>
    </row>
    <row r="1942">
      <c r="A1942" s="28"/>
      <c r="B1942" s="1"/>
      <c r="C1942" s="29"/>
      <c r="D1942" s="27"/>
      <c r="E1942" s="27"/>
      <c r="F1942" s="27"/>
    </row>
    <row r="1943">
      <c r="A1943" s="28"/>
      <c r="B1943" s="1"/>
      <c r="C1943" s="29"/>
      <c r="D1943" s="27"/>
      <c r="E1943" s="27"/>
      <c r="F1943" s="27"/>
    </row>
    <row r="1944">
      <c r="A1944" s="28"/>
      <c r="B1944" s="1"/>
      <c r="C1944" s="29"/>
      <c r="D1944" s="27"/>
      <c r="E1944" s="27"/>
      <c r="F1944" s="27"/>
    </row>
    <row r="1945">
      <c r="A1945" s="28"/>
      <c r="B1945" s="1"/>
      <c r="C1945" s="29"/>
      <c r="D1945" s="27"/>
      <c r="E1945" s="27"/>
      <c r="F1945" s="27"/>
    </row>
    <row r="1946">
      <c r="A1946" s="28"/>
      <c r="B1946" s="1"/>
      <c r="C1946" s="29"/>
      <c r="D1946" s="27"/>
      <c r="E1946" s="27"/>
      <c r="F1946" s="27"/>
    </row>
    <row r="1947">
      <c r="A1947" s="28"/>
      <c r="B1947" s="1"/>
      <c r="C1947" s="29"/>
      <c r="D1947" s="27"/>
      <c r="E1947" s="27"/>
      <c r="F1947" s="27"/>
    </row>
    <row r="1948">
      <c r="A1948" s="28"/>
      <c r="B1948" s="1"/>
      <c r="C1948" s="29"/>
      <c r="D1948" s="27"/>
      <c r="E1948" s="27"/>
      <c r="F1948" s="27"/>
    </row>
    <row r="1949">
      <c r="A1949" s="28"/>
      <c r="B1949" s="1"/>
      <c r="C1949" s="29"/>
      <c r="D1949" s="27"/>
      <c r="E1949" s="27"/>
      <c r="F1949" s="27"/>
    </row>
    <row r="1950">
      <c r="A1950" s="28"/>
      <c r="B1950" s="1"/>
      <c r="C1950" s="29"/>
      <c r="D1950" s="27"/>
      <c r="E1950" s="27"/>
      <c r="F1950" s="27"/>
    </row>
    <row r="1951">
      <c r="A1951" s="28"/>
      <c r="B1951" s="1"/>
      <c r="C1951" s="29"/>
      <c r="D1951" s="27"/>
      <c r="E1951" s="27"/>
      <c r="F1951" s="27"/>
    </row>
    <row r="1952">
      <c r="A1952" s="28"/>
      <c r="B1952" s="1"/>
      <c r="C1952" s="29"/>
      <c r="D1952" s="27"/>
      <c r="E1952" s="27"/>
      <c r="F1952" s="27"/>
    </row>
    <row r="1953">
      <c r="A1953" s="28"/>
      <c r="B1953" s="1"/>
      <c r="C1953" s="29"/>
      <c r="D1953" s="27"/>
      <c r="E1953" s="27"/>
      <c r="F1953" s="27"/>
    </row>
    <row r="1954">
      <c r="A1954" s="28"/>
      <c r="B1954" s="1"/>
      <c r="C1954" s="29"/>
      <c r="D1954" s="27"/>
      <c r="E1954" s="27"/>
      <c r="F1954" s="27"/>
    </row>
    <row r="1955">
      <c r="A1955" s="28"/>
      <c r="B1955" s="1"/>
      <c r="C1955" s="29"/>
      <c r="D1955" s="27"/>
      <c r="E1955" s="27"/>
      <c r="F1955" s="27"/>
    </row>
    <row r="1956">
      <c r="A1956" s="28"/>
      <c r="B1956" s="1"/>
      <c r="C1956" s="29"/>
      <c r="D1956" s="27"/>
      <c r="E1956" s="27"/>
      <c r="F1956" s="27"/>
    </row>
    <row r="1957">
      <c r="A1957" s="28"/>
      <c r="B1957" s="1"/>
      <c r="C1957" s="29"/>
      <c r="D1957" s="27"/>
      <c r="E1957" s="27"/>
      <c r="F1957" s="27"/>
    </row>
    <row r="1958">
      <c r="A1958" s="28"/>
      <c r="B1958" s="1"/>
      <c r="C1958" s="29"/>
      <c r="D1958" s="27"/>
      <c r="E1958" s="27"/>
      <c r="F1958" s="27"/>
    </row>
    <row r="1959">
      <c r="A1959" s="28"/>
      <c r="B1959" s="1"/>
      <c r="C1959" s="29"/>
      <c r="D1959" s="27"/>
      <c r="E1959" s="27"/>
      <c r="F1959" s="27"/>
    </row>
    <row r="1960">
      <c r="A1960" s="28"/>
      <c r="B1960" s="1"/>
      <c r="C1960" s="29"/>
      <c r="D1960" s="27"/>
      <c r="E1960" s="27"/>
      <c r="F1960" s="27"/>
    </row>
    <row r="1961">
      <c r="A1961" s="28"/>
      <c r="B1961" s="1"/>
      <c r="C1961" s="29"/>
      <c r="D1961" s="27"/>
      <c r="E1961" s="27"/>
      <c r="F1961" s="27"/>
    </row>
    <row r="1962">
      <c r="A1962" s="28"/>
      <c r="B1962" s="1"/>
      <c r="C1962" s="29"/>
      <c r="D1962" s="27"/>
      <c r="E1962" s="27"/>
      <c r="F1962" s="27"/>
    </row>
    <row r="1963">
      <c r="A1963" s="28"/>
      <c r="B1963" s="1"/>
      <c r="C1963" s="29"/>
      <c r="D1963" s="27"/>
      <c r="E1963" s="27"/>
      <c r="F1963" s="27"/>
    </row>
    <row r="1964">
      <c r="A1964" s="28"/>
      <c r="B1964" s="1"/>
      <c r="C1964" s="29"/>
      <c r="D1964" s="27"/>
      <c r="E1964" s="27"/>
      <c r="F1964" s="27"/>
    </row>
    <row r="1965">
      <c r="A1965" s="28"/>
      <c r="B1965" s="1"/>
      <c r="C1965" s="29"/>
      <c r="D1965" s="27"/>
      <c r="E1965" s="27"/>
      <c r="F1965" s="27"/>
    </row>
    <row r="1966">
      <c r="A1966" s="28"/>
      <c r="B1966" s="1"/>
      <c r="C1966" s="29"/>
      <c r="D1966" s="27"/>
      <c r="E1966" s="27"/>
      <c r="F1966" s="27"/>
    </row>
    <row r="1967">
      <c r="A1967" s="28"/>
      <c r="B1967" s="1"/>
      <c r="C1967" s="29"/>
      <c r="D1967" s="27"/>
      <c r="E1967" s="27"/>
      <c r="F1967" s="27"/>
    </row>
    <row r="1968">
      <c r="A1968" s="28"/>
      <c r="B1968" s="1"/>
      <c r="C1968" s="29"/>
      <c r="D1968" s="27"/>
      <c r="E1968" s="27"/>
      <c r="F1968" s="27"/>
    </row>
    <row r="1969">
      <c r="A1969" s="28"/>
      <c r="B1969" s="1"/>
      <c r="C1969" s="29"/>
      <c r="D1969" s="27"/>
      <c r="E1969" s="27"/>
      <c r="F1969" s="27"/>
    </row>
    <row r="1970">
      <c r="A1970" s="28"/>
      <c r="B1970" s="1"/>
      <c r="C1970" s="29"/>
      <c r="D1970" s="27"/>
      <c r="E1970" s="27"/>
      <c r="F1970" s="27"/>
    </row>
    <row r="1971">
      <c r="A1971" s="28"/>
      <c r="B1971" s="1"/>
      <c r="C1971" s="29"/>
      <c r="D1971" s="27"/>
      <c r="E1971" s="27"/>
      <c r="F1971" s="27"/>
    </row>
    <row r="1972">
      <c r="A1972" s="28"/>
      <c r="B1972" s="1"/>
      <c r="C1972" s="29"/>
      <c r="D1972" s="27"/>
      <c r="E1972" s="27"/>
      <c r="F1972" s="27"/>
    </row>
    <row r="1973">
      <c r="A1973" s="28"/>
      <c r="B1973" s="1"/>
      <c r="C1973" s="29"/>
      <c r="D1973" s="27"/>
      <c r="E1973" s="27"/>
      <c r="F1973" s="27"/>
    </row>
    <row r="1974">
      <c r="A1974" s="28"/>
      <c r="B1974" s="1"/>
      <c r="C1974" s="29"/>
      <c r="D1974" s="27"/>
      <c r="E1974" s="27"/>
      <c r="F1974" s="27"/>
    </row>
    <row r="1975">
      <c r="A1975" s="28"/>
      <c r="B1975" s="1"/>
      <c r="C1975" s="29"/>
      <c r="D1975" s="27"/>
      <c r="E1975" s="27"/>
      <c r="F1975" s="27"/>
    </row>
    <row r="1976">
      <c r="A1976" s="28"/>
      <c r="B1976" s="1"/>
      <c r="C1976" s="29"/>
      <c r="D1976" s="27"/>
      <c r="E1976" s="27"/>
      <c r="F1976" s="27"/>
    </row>
    <row r="1977">
      <c r="A1977" s="28"/>
      <c r="B1977" s="1"/>
      <c r="C1977" s="29"/>
      <c r="D1977" s="27"/>
      <c r="E1977" s="27"/>
      <c r="F1977" s="27"/>
    </row>
    <row r="1978">
      <c r="A1978" s="28"/>
      <c r="B1978" s="1"/>
      <c r="C1978" s="29"/>
      <c r="D1978" s="27"/>
      <c r="E1978" s="27"/>
      <c r="F1978" s="27"/>
    </row>
    <row r="1979">
      <c r="A1979" s="28"/>
      <c r="B1979" s="1"/>
      <c r="C1979" s="29"/>
      <c r="D1979" s="27"/>
      <c r="E1979" s="27"/>
      <c r="F1979" s="27"/>
    </row>
    <row r="1980">
      <c r="A1980" s="28"/>
      <c r="B1980" s="1"/>
      <c r="C1980" s="29"/>
      <c r="D1980" s="27"/>
      <c r="E1980" s="27"/>
      <c r="F1980" s="27"/>
    </row>
    <row r="1981">
      <c r="A1981" s="28"/>
      <c r="B1981" s="1"/>
      <c r="C1981" s="29"/>
      <c r="D1981" s="27"/>
      <c r="E1981" s="27"/>
      <c r="F1981" s="27"/>
    </row>
    <row r="1982">
      <c r="A1982" s="28"/>
      <c r="B1982" s="1"/>
      <c r="C1982" s="29"/>
      <c r="D1982" s="27"/>
      <c r="E1982" s="27"/>
      <c r="F1982" s="27"/>
    </row>
    <row r="1983">
      <c r="A1983" s="28"/>
      <c r="B1983" s="1"/>
      <c r="C1983" s="29"/>
      <c r="D1983" s="27"/>
      <c r="E1983" s="27"/>
      <c r="F1983" s="27"/>
    </row>
    <row r="1984">
      <c r="A1984" s="28"/>
      <c r="B1984" s="1"/>
      <c r="C1984" s="29"/>
      <c r="D1984" s="27"/>
      <c r="E1984" s="27"/>
      <c r="F1984" s="27"/>
    </row>
    <row r="1985">
      <c r="A1985" s="28"/>
      <c r="B1985" s="1"/>
      <c r="C1985" s="29"/>
      <c r="D1985" s="27"/>
      <c r="E1985" s="27"/>
      <c r="F1985" s="27"/>
    </row>
    <row r="1986">
      <c r="A1986" s="28"/>
      <c r="B1986" s="1"/>
      <c r="C1986" s="29"/>
      <c r="D1986" s="27"/>
      <c r="E1986" s="27"/>
      <c r="F1986" s="27"/>
    </row>
    <row r="1987">
      <c r="A1987" s="28"/>
      <c r="B1987" s="1"/>
      <c r="C1987" s="29"/>
      <c r="D1987" s="27"/>
      <c r="E1987" s="27"/>
      <c r="F1987" s="27"/>
    </row>
    <row r="1988">
      <c r="A1988" s="28"/>
      <c r="B1988" s="1"/>
      <c r="C1988" s="29"/>
      <c r="D1988" s="27"/>
      <c r="E1988" s="27"/>
      <c r="F1988" s="27"/>
    </row>
    <row r="1989">
      <c r="A1989" s="28"/>
      <c r="B1989" s="1"/>
      <c r="C1989" s="29"/>
      <c r="D1989" s="27"/>
      <c r="E1989" s="27"/>
      <c r="F1989" s="27"/>
    </row>
    <row r="1990">
      <c r="A1990" s="28"/>
      <c r="B1990" s="1"/>
      <c r="C1990" s="29"/>
      <c r="D1990" s="27"/>
      <c r="E1990" s="27"/>
      <c r="F1990" s="27"/>
    </row>
    <row r="1991">
      <c r="A1991" s="28"/>
      <c r="B1991" s="1"/>
      <c r="C1991" s="29"/>
      <c r="D1991" s="27"/>
      <c r="E1991" s="27"/>
      <c r="F1991" s="27"/>
    </row>
    <row r="1992">
      <c r="A1992" s="28"/>
      <c r="B1992" s="1"/>
      <c r="C1992" s="29"/>
      <c r="D1992" s="27"/>
      <c r="E1992" s="27"/>
      <c r="F1992" s="27"/>
    </row>
    <row r="1993">
      <c r="A1993" s="28"/>
      <c r="B1993" s="1"/>
      <c r="C1993" s="29"/>
      <c r="D1993" s="27"/>
      <c r="E1993" s="27"/>
      <c r="F1993" s="27"/>
    </row>
    <row r="1994">
      <c r="A1994" s="28"/>
      <c r="B1994" s="1"/>
      <c r="C1994" s="29"/>
      <c r="D1994" s="27"/>
      <c r="E1994" s="27"/>
      <c r="F1994" s="27"/>
    </row>
    <row r="1995">
      <c r="A1995" s="28"/>
      <c r="B1995" s="1"/>
      <c r="C1995" s="29"/>
      <c r="D1995" s="27"/>
      <c r="E1995" s="27"/>
      <c r="F1995" s="27"/>
    </row>
    <row r="1996">
      <c r="A1996" s="28"/>
      <c r="B1996" s="1"/>
      <c r="C1996" s="29"/>
      <c r="D1996" s="27"/>
      <c r="E1996" s="27"/>
      <c r="F1996" s="27"/>
    </row>
    <row r="1997">
      <c r="A1997" s="28"/>
      <c r="B1997" s="1"/>
      <c r="C1997" s="29"/>
      <c r="D1997" s="27"/>
      <c r="E1997" s="27"/>
      <c r="F1997" s="27"/>
    </row>
    <row r="1998">
      <c r="A1998" s="28"/>
      <c r="B1998" s="1"/>
      <c r="C1998" s="29"/>
      <c r="D1998" s="27"/>
      <c r="E1998" s="27"/>
      <c r="F1998" s="27"/>
    </row>
    <row r="1999">
      <c r="A1999" s="28"/>
      <c r="B1999" s="1"/>
      <c r="C1999" s="29"/>
      <c r="D1999" s="27"/>
      <c r="E1999" s="27"/>
      <c r="F1999" s="27"/>
    </row>
    <row r="2000">
      <c r="A2000" s="28"/>
      <c r="B2000" s="1"/>
      <c r="C2000" s="29"/>
      <c r="D2000" s="27"/>
      <c r="E2000" s="27"/>
      <c r="F2000" s="27"/>
    </row>
    <row r="2001">
      <c r="A2001" s="28"/>
      <c r="B2001" s="1"/>
      <c r="C2001" s="29"/>
      <c r="D2001" s="27"/>
      <c r="E2001" s="27"/>
      <c r="F2001" s="27"/>
    </row>
    <row r="2002">
      <c r="A2002" s="28"/>
      <c r="B2002" s="1"/>
      <c r="C2002" s="29"/>
      <c r="D2002" s="27"/>
      <c r="E2002" s="27"/>
      <c r="F2002" s="27"/>
    </row>
    <row r="2003">
      <c r="A2003" s="28"/>
      <c r="B2003" s="1"/>
      <c r="C2003" s="29"/>
      <c r="D2003" s="27"/>
      <c r="E2003" s="27"/>
      <c r="F2003" s="27"/>
    </row>
    <row r="2004">
      <c r="A2004" s="28"/>
      <c r="B2004" s="1"/>
      <c r="C2004" s="29"/>
      <c r="D2004" s="27"/>
      <c r="E2004" s="27"/>
      <c r="F2004" s="27"/>
    </row>
    <row r="2005">
      <c r="A2005" s="28"/>
      <c r="B2005" s="1"/>
      <c r="C2005" s="29"/>
      <c r="D2005" s="27"/>
      <c r="E2005" s="27"/>
      <c r="F2005" s="27"/>
    </row>
    <row r="2006">
      <c r="A2006" s="28"/>
      <c r="B2006" s="1"/>
      <c r="C2006" s="29"/>
      <c r="D2006" s="27"/>
      <c r="E2006" s="27"/>
      <c r="F2006" s="27"/>
    </row>
    <row r="2007">
      <c r="A2007" s="28"/>
      <c r="B2007" s="1"/>
      <c r="C2007" s="29"/>
      <c r="D2007" s="27"/>
      <c r="E2007" s="27"/>
      <c r="F2007" s="27"/>
    </row>
    <row r="2008">
      <c r="A2008" s="28"/>
      <c r="B2008" s="1"/>
      <c r="C2008" s="29"/>
      <c r="D2008" s="27"/>
      <c r="E2008" s="27"/>
      <c r="F2008" s="27"/>
    </row>
    <row r="2009">
      <c r="A2009" s="28"/>
      <c r="B2009" s="1"/>
      <c r="C2009" s="29"/>
      <c r="D2009" s="27"/>
      <c r="E2009" s="27"/>
      <c r="F2009" s="27"/>
    </row>
    <row r="2010">
      <c r="A2010" s="28"/>
      <c r="B2010" s="1"/>
      <c r="C2010" s="29"/>
      <c r="D2010" s="27"/>
      <c r="E2010" s="27"/>
      <c r="F2010" s="27"/>
    </row>
    <row r="2011">
      <c r="A2011" s="28"/>
      <c r="B2011" s="1"/>
      <c r="C2011" s="29"/>
      <c r="D2011" s="27"/>
      <c r="E2011" s="27"/>
      <c r="F2011" s="27"/>
    </row>
    <row r="2012">
      <c r="A2012" s="28"/>
      <c r="B2012" s="1"/>
      <c r="C2012" s="29"/>
      <c r="D2012" s="27"/>
      <c r="E2012" s="27"/>
      <c r="F2012" s="27"/>
    </row>
    <row r="2013">
      <c r="A2013" s="28"/>
      <c r="B2013" s="1"/>
      <c r="C2013" s="29"/>
      <c r="D2013" s="27"/>
      <c r="E2013" s="27"/>
      <c r="F2013" s="27"/>
    </row>
    <row r="2014">
      <c r="A2014" s="28"/>
      <c r="B2014" s="1"/>
      <c r="C2014" s="29"/>
      <c r="D2014" s="27"/>
      <c r="E2014" s="27"/>
      <c r="F2014" s="27"/>
    </row>
    <row r="2015">
      <c r="A2015" s="28"/>
      <c r="B2015" s="1"/>
      <c r="C2015" s="29"/>
      <c r="D2015" s="27"/>
      <c r="E2015" s="27"/>
      <c r="F2015" s="27"/>
    </row>
    <row r="2016">
      <c r="A2016" s="28"/>
      <c r="B2016" s="1"/>
      <c r="C2016" s="29"/>
      <c r="D2016" s="27"/>
      <c r="E2016" s="27"/>
      <c r="F2016" s="27"/>
    </row>
    <row r="2017">
      <c r="A2017" s="28"/>
      <c r="B2017" s="1"/>
      <c r="C2017" s="29"/>
      <c r="D2017" s="27"/>
      <c r="E2017" s="27"/>
      <c r="F2017" s="27"/>
    </row>
    <row r="2018">
      <c r="A2018" s="28"/>
      <c r="B2018" s="1"/>
      <c r="C2018" s="29"/>
      <c r="D2018" s="27"/>
      <c r="E2018" s="27"/>
      <c r="F2018" s="27"/>
    </row>
    <row r="2019">
      <c r="A2019" s="28"/>
      <c r="B2019" s="1"/>
      <c r="C2019" s="29"/>
      <c r="D2019" s="27"/>
      <c r="E2019" s="27"/>
      <c r="F2019" s="27"/>
    </row>
    <row r="2020">
      <c r="A2020" s="28"/>
      <c r="B2020" s="1"/>
      <c r="C2020" s="29"/>
      <c r="D2020" s="27"/>
      <c r="E2020" s="27"/>
      <c r="F2020" s="27"/>
    </row>
    <row r="2021">
      <c r="A2021" s="28"/>
      <c r="B2021" s="1"/>
      <c r="C2021" s="29"/>
      <c r="D2021" s="27"/>
      <c r="E2021" s="27"/>
      <c r="F2021" s="27"/>
    </row>
    <row r="2022">
      <c r="A2022" s="28"/>
      <c r="B2022" s="1"/>
      <c r="C2022" s="29"/>
      <c r="D2022" s="27"/>
      <c r="E2022" s="27"/>
      <c r="F2022" s="27"/>
    </row>
    <row r="2023">
      <c r="A2023" s="28"/>
      <c r="B2023" s="1"/>
      <c r="C2023" s="29"/>
      <c r="D2023" s="27"/>
      <c r="E2023" s="27"/>
      <c r="F2023" s="27"/>
    </row>
    <row r="2024">
      <c r="A2024" s="28"/>
      <c r="B2024" s="1"/>
      <c r="C2024" s="29"/>
      <c r="D2024" s="27"/>
      <c r="E2024" s="27"/>
      <c r="F2024" s="27"/>
    </row>
    <row r="2025">
      <c r="A2025" s="28"/>
      <c r="B2025" s="1"/>
      <c r="C2025" s="29"/>
      <c r="D2025" s="27"/>
      <c r="E2025" s="27"/>
      <c r="F2025" s="27"/>
    </row>
    <row r="2026">
      <c r="A2026" s="28"/>
      <c r="B2026" s="1"/>
      <c r="C2026" s="29"/>
      <c r="D2026" s="27"/>
      <c r="E2026" s="27"/>
      <c r="F2026" s="27"/>
    </row>
    <row r="2027">
      <c r="A2027" s="28"/>
      <c r="B2027" s="1"/>
      <c r="C2027" s="29"/>
      <c r="D2027" s="27"/>
      <c r="E2027" s="27"/>
      <c r="F2027" s="27"/>
    </row>
    <row r="2028">
      <c r="A2028" s="28"/>
      <c r="B2028" s="1"/>
      <c r="C2028" s="29"/>
      <c r="D2028" s="27"/>
      <c r="E2028" s="27"/>
      <c r="F2028" s="27"/>
    </row>
    <row r="2029">
      <c r="A2029" s="28"/>
      <c r="B2029" s="1"/>
      <c r="C2029" s="29"/>
      <c r="D2029" s="27"/>
      <c r="E2029" s="27"/>
      <c r="F2029" s="27"/>
    </row>
    <row r="2030">
      <c r="A2030" s="28"/>
      <c r="B2030" s="1"/>
      <c r="C2030" s="29"/>
      <c r="D2030" s="27"/>
      <c r="E2030" s="27"/>
      <c r="F2030" s="27"/>
    </row>
    <row r="2031">
      <c r="A2031" s="28"/>
      <c r="B2031" s="1"/>
      <c r="C2031" s="29"/>
      <c r="D2031" s="27"/>
      <c r="E2031" s="27"/>
      <c r="F2031" s="27"/>
    </row>
    <row r="2032">
      <c r="A2032" s="28"/>
      <c r="B2032" s="1"/>
      <c r="C2032" s="29"/>
      <c r="D2032" s="27"/>
      <c r="E2032" s="27"/>
      <c r="F2032" s="27"/>
    </row>
    <row r="2033">
      <c r="A2033" s="28"/>
      <c r="B2033" s="1"/>
      <c r="C2033" s="29"/>
      <c r="D2033" s="27"/>
      <c r="E2033" s="27"/>
      <c r="F2033" s="27"/>
    </row>
    <row r="2034">
      <c r="A2034" s="28"/>
      <c r="B2034" s="1"/>
      <c r="C2034" s="29"/>
      <c r="D2034" s="27"/>
      <c r="E2034" s="27"/>
      <c r="F2034" s="27"/>
    </row>
    <row r="2035">
      <c r="A2035" s="28"/>
      <c r="B2035" s="1"/>
      <c r="C2035" s="29"/>
      <c r="D2035" s="27"/>
      <c r="E2035" s="27"/>
      <c r="F2035" s="27"/>
    </row>
    <row r="2036">
      <c r="A2036" s="28"/>
      <c r="B2036" s="1"/>
      <c r="C2036" s="29"/>
      <c r="D2036" s="27"/>
      <c r="E2036" s="27"/>
      <c r="F2036" s="27"/>
    </row>
    <row r="2037">
      <c r="A2037" s="28"/>
      <c r="B2037" s="1"/>
      <c r="C2037" s="29"/>
      <c r="D2037" s="27"/>
      <c r="E2037" s="27"/>
      <c r="F2037" s="27"/>
    </row>
    <row r="2038">
      <c r="A2038" s="28"/>
      <c r="B2038" s="1"/>
      <c r="C2038" s="29"/>
      <c r="D2038" s="27"/>
      <c r="E2038" s="27"/>
      <c r="F2038" s="27"/>
    </row>
    <row r="2039">
      <c r="A2039" s="28"/>
      <c r="B2039" s="1"/>
      <c r="C2039" s="29"/>
      <c r="D2039" s="27"/>
      <c r="E2039" s="27"/>
      <c r="F2039" s="27"/>
    </row>
    <row r="2040">
      <c r="A2040" s="28"/>
      <c r="B2040" s="1"/>
      <c r="C2040" s="29"/>
      <c r="D2040" s="27"/>
      <c r="E2040" s="27"/>
      <c r="F2040" s="27"/>
    </row>
    <row r="2041">
      <c r="A2041" s="28"/>
      <c r="B2041" s="1"/>
      <c r="C2041" s="29"/>
      <c r="D2041" s="27"/>
      <c r="E2041" s="27"/>
      <c r="F2041" s="27"/>
    </row>
    <row r="2042">
      <c r="A2042" s="28"/>
      <c r="B2042" s="1"/>
      <c r="C2042" s="29"/>
      <c r="D2042" s="27"/>
      <c r="E2042" s="27"/>
      <c r="F2042" s="27"/>
    </row>
    <row r="2043">
      <c r="A2043" s="28"/>
      <c r="B2043" s="1"/>
      <c r="C2043" s="29"/>
      <c r="D2043" s="27"/>
      <c r="E2043" s="27"/>
      <c r="F2043" s="27"/>
    </row>
    <row r="2044">
      <c r="A2044" s="28"/>
      <c r="B2044" s="1"/>
      <c r="C2044" s="29"/>
      <c r="D2044" s="27"/>
      <c r="E2044" s="27"/>
      <c r="F2044" s="27"/>
    </row>
    <row r="2045">
      <c r="A2045" s="28"/>
      <c r="B2045" s="1"/>
      <c r="C2045" s="29"/>
      <c r="D2045" s="27"/>
      <c r="E2045" s="27"/>
      <c r="F2045" s="27"/>
    </row>
    <row r="2046">
      <c r="A2046" s="28"/>
      <c r="B2046" s="1"/>
      <c r="C2046" s="29"/>
      <c r="D2046" s="27"/>
      <c r="E2046" s="27"/>
      <c r="F2046" s="27"/>
    </row>
    <row r="2047">
      <c r="A2047" s="28"/>
      <c r="B2047" s="1"/>
      <c r="C2047" s="29"/>
      <c r="D2047" s="27"/>
      <c r="E2047" s="27"/>
      <c r="F2047" s="27"/>
    </row>
    <row r="2048">
      <c r="A2048" s="28"/>
      <c r="B2048" s="1"/>
      <c r="C2048" s="29"/>
      <c r="D2048" s="27"/>
      <c r="E2048" s="27"/>
      <c r="F2048" s="27"/>
    </row>
    <row r="2049">
      <c r="A2049" s="28"/>
      <c r="B2049" s="1"/>
      <c r="C2049" s="29"/>
      <c r="D2049" s="27"/>
      <c r="E2049" s="27"/>
      <c r="F2049" s="27"/>
    </row>
    <row r="2050">
      <c r="A2050" s="28"/>
      <c r="B2050" s="1"/>
      <c r="C2050" s="29"/>
      <c r="D2050" s="27"/>
      <c r="E2050" s="27"/>
      <c r="F2050" s="27"/>
    </row>
    <row r="2051">
      <c r="A2051" s="28"/>
      <c r="B2051" s="1"/>
      <c r="C2051" s="29"/>
      <c r="D2051" s="27"/>
      <c r="E2051" s="27"/>
      <c r="F2051" s="27"/>
    </row>
    <row r="2052">
      <c r="A2052" s="28"/>
      <c r="B2052" s="1"/>
      <c r="C2052" s="29"/>
      <c r="D2052" s="27"/>
      <c r="E2052" s="27"/>
      <c r="F2052" s="27"/>
    </row>
    <row r="2053">
      <c r="A2053" s="28"/>
      <c r="B2053" s="1"/>
      <c r="C2053" s="29"/>
      <c r="D2053" s="27"/>
      <c r="E2053" s="27"/>
      <c r="F2053" s="27"/>
    </row>
    <row r="2054">
      <c r="A2054" s="28"/>
      <c r="B2054" s="1"/>
      <c r="C2054" s="29"/>
      <c r="D2054" s="27"/>
      <c r="E2054" s="27"/>
      <c r="F2054" s="27"/>
    </row>
    <row r="2055">
      <c r="A2055" s="28"/>
      <c r="B2055" s="1"/>
      <c r="C2055" s="29"/>
      <c r="D2055" s="27"/>
      <c r="E2055" s="27"/>
      <c r="F2055" s="27"/>
    </row>
    <row r="2056">
      <c r="A2056" s="28"/>
      <c r="B2056" s="1"/>
      <c r="C2056" s="29"/>
      <c r="D2056" s="27"/>
      <c r="E2056" s="27"/>
      <c r="F2056" s="27"/>
    </row>
    <row r="2057">
      <c r="A2057" s="28"/>
      <c r="B2057" s="1"/>
      <c r="C2057" s="29"/>
      <c r="D2057" s="27"/>
      <c r="E2057" s="27"/>
      <c r="F2057" s="27"/>
    </row>
    <row r="2058">
      <c r="A2058" s="28"/>
      <c r="B2058" s="1"/>
      <c r="C2058" s="29"/>
      <c r="D2058" s="27"/>
      <c r="E2058" s="27"/>
      <c r="F2058" s="27"/>
    </row>
    <row r="2059">
      <c r="A2059" s="28"/>
      <c r="B2059" s="1"/>
      <c r="C2059" s="29"/>
      <c r="D2059" s="27"/>
      <c r="E2059" s="27"/>
      <c r="F2059" s="27"/>
    </row>
    <row r="2060">
      <c r="A2060" s="28"/>
      <c r="B2060" s="1"/>
      <c r="C2060" s="29"/>
      <c r="D2060" s="27"/>
      <c r="E2060" s="27"/>
      <c r="F2060" s="27"/>
    </row>
    <row r="2061">
      <c r="A2061" s="28"/>
      <c r="B2061" s="1"/>
      <c r="C2061" s="29"/>
      <c r="D2061" s="27"/>
      <c r="E2061" s="27"/>
      <c r="F2061" s="27"/>
    </row>
    <row r="2062">
      <c r="A2062" s="28"/>
      <c r="B2062" s="1"/>
      <c r="C2062" s="29"/>
      <c r="D2062" s="27"/>
      <c r="E2062" s="27"/>
      <c r="F2062" s="27"/>
    </row>
    <row r="2063">
      <c r="A2063" s="28"/>
      <c r="B2063" s="1"/>
      <c r="C2063" s="29"/>
      <c r="D2063" s="27"/>
      <c r="E2063" s="27"/>
      <c r="F2063" s="27"/>
    </row>
    <row r="2064">
      <c r="A2064" s="28"/>
      <c r="B2064" s="1"/>
      <c r="C2064" s="29"/>
      <c r="D2064" s="27"/>
      <c r="E2064" s="27"/>
      <c r="F2064" s="27"/>
    </row>
    <row r="2065">
      <c r="A2065" s="28"/>
      <c r="B2065" s="1"/>
      <c r="C2065" s="29"/>
      <c r="D2065" s="27"/>
      <c r="E2065" s="27"/>
      <c r="F2065" s="27"/>
    </row>
    <row r="2066">
      <c r="A2066" s="28"/>
      <c r="B2066" s="1"/>
      <c r="C2066" s="29"/>
      <c r="D2066" s="27"/>
      <c r="E2066" s="27"/>
      <c r="F2066" s="27"/>
    </row>
    <row r="2067">
      <c r="A2067" s="28"/>
      <c r="B2067" s="1"/>
      <c r="C2067" s="29"/>
      <c r="D2067" s="27"/>
      <c r="E2067" s="27"/>
      <c r="F2067" s="27"/>
    </row>
    <row r="2068">
      <c r="A2068" s="28"/>
      <c r="B2068" s="1"/>
      <c r="C2068" s="29"/>
      <c r="D2068" s="27"/>
      <c r="E2068" s="27"/>
      <c r="F2068" s="27"/>
    </row>
    <row r="2069">
      <c r="A2069" s="28"/>
      <c r="B2069" s="1"/>
      <c r="C2069" s="29"/>
      <c r="D2069" s="27"/>
      <c r="E2069" s="27"/>
      <c r="F2069" s="27"/>
    </row>
    <row r="2070">
      <c r="A2070" s="28"/>
      <c r="B2070" s="1"/>
      <c r="C2070" s="29"/>
      <c r="D2070" s="27"/>
      <c r="E2070" s="27"/>
      <c r="F2070" s="27"/>
    </row>
    <row r="2071">
      <c r="A2071" s="28"/>
      <c r="B2071" s="1"/>
      <c r="C2071" s="29"/>
      <c r="D2071" s="27"/>
      <c r="E2071" s="27"/>
      <c r="F2071" s="27"/>
    </row>
    <row r="2072">
      <c r="A2072" s="28"/>
      <c r="B2072" s="1"/>
      <c r="C2072" s="29"/>
      <c r="D2072" s="27"/>
      <c r="E2072" s="27"/>
      <c r="F2072" s="27"/>
    </row>
    <row r="2073">
      <c r="A2073" s="28"/>
      <c r="B2073" s="1"/>
      <c r="C2073" s="29"/>
      <c r="D2073" s="27"/>
      <c r="E2073" s="27"/>
      <c r="F2073" s="27"/>
    </row>
    <row r="2074">
      <c r="A2074" s="28"/>
      <c r="B2074" s="1"/>
      <c r="C2074" s="29"/>
      <c r="D2074" s="27"/>
      <c r="E2074" s="27"/>
      <c r="F2074" s="27"/>
    </row>
    <row r="2075">
      <c r="A2075" s="28"/>
      <c r="B2075" s="1"/>
      <c r="C2075" s="29"/>
      <c r="D2075" s="27"/>
      <c r="E2075" s="27"/>
      <c r="F2075" s="27"/>
    </row>
    <row r="2076">
      <c r="A2076" s="28"/>
      <c r="B2076" s="1"/>
      <c r="C2076" s="29"/>
      <c r="D2076" s="27"/>
      <c r="E2076" s="27"/>
      <c r="F2076" s="27"/>
    </row>
    <row r="2077">
      <c r="A2077" s="28"/>
      <c r="B2077" s="1"/>
      <c r="C2077" s="29"/>
      <c r="D2077" s="27"/>
      <c r="E2077" s="27"/>
      <c r="F2077" s="27"/>
    </row>
    <row r="2078">
      <c r="A2078" s="28"/>
      <c r="B2078" s="1"/>
      <c r="C2078" s="29"/>
      <c r="D2078" s="27"/>
      <c r="E2078" s="27"/>
      <c r="F2078" s="27"/>
    </row>
    <row r="2079">
      <c r="A2079" s="28"/>
      <c r="B2079" s="1"/>
      <c r="C2079" s="29"/>
      <c r="D2079" s="27"/>
      <c r="E2079" s="27"/>
      <c r="F2079" s="27"/>
    </row>
    <row r="2080">
      <c r="A2080" s="28"/>
      <c r="B2080" s="1"/>
      <c r="C2080" s="29"/>
      <c r="D2080" s="27"/>
      <c r="E2080" s="27"/>
      <c r="F2080" s="27"/>
    </row>
    <row r="2081">
      <c r="A2081" s="28"/>
      <c r="B2081" s="1"/>
      <c r="C2081" s="29"/>
      <c r="D2081" s="27"/>
      <c r="E2081" s="27"/>
      <c r="F2081" s="27"/>
    </row>
    <row r="2082">
      <c r="A2082" s="28"/>
      <c r="B2082" s="1"/>
      <c r="C2082" s="29"/>
      <c r="D2082" s="27"/>
      <c r="E2082" s="27"/>
      <c r="F2082" s="27"/>
    </row>
    <row r="2083">
      <c r="A2083" s="28"/>
      <c r="B2083" s="1"/>
      <c r="C2083" s="29"/>
      <c r="D2083" s="27"/>
      <c r="E2083" s="27"/>
      <c r="F2083" s="27"/>
    </row>
    <row r="2084">
      <c r="A2084" s="28"/>
      <c r="B2084" s="1"/>
      <c r="C2084" s="29"/>
      <c r="D2084" s="27"/>
      <c r="E2084" s="27"/>
      <c r="F2084" s="27"/>
    </row>
    <row r="2085">
      <c r="A2085" s="28"/>
      <c r="B2085" s="1"/>
      <c r="C2085" s="29"/>
      <c r="D2085" s="27"/>
      <c r="E2085" s="27"/>
      <c r="F2085" s="27"/>
    </row>
    <row r="2086">
      <c r="A2086" s="28"/>
      <c r="B2086" s="1"/>
      <c r="C2086" s="29"/>
      <c r="D2086" s="27"/>
      <c r="E2086" s="27"/>
      <c r="F2086" s="27"/>
    </row>
    <row r="2087">
      <c r="A2087" s="28"/>
      <c r="B2087" s="1"/>
      <c r="C2087" s="29"/>
      <c r="D2087" s="27"/>
      <c r="E2087" s="27"/>
      <c r="F2087" s="27"/>
    </row>
    <row r="2088">
      <c r="A2088" s="28"/>
      <c r="B2088" s="1"/>
      <c r="C2088" s="29"/>
      <c r="D2088" s="27"/>
      <c r="E2088" s="27"/>
      <c r="F2088" s="27"/>
    </row>
    <row r="2089">
      <c r="A2089" s="28"/>
      <c r="B2089" s="1"/>
      <c r="C2089" s="29"/>
      <c r="D2089" s="27"/>
      <c r="E2089" s="27"/>
      <c r="F2089" s="27"/>
    </row>
    <row r="2090">
      <c r="A2090" s="28"/>
      <c r="B2090" s="1"/>
      <c r="C2090" s="29"/>
      <c r="D2090" s="27"/>
      <c r="E2090" s="27"/>
      <c r="F2090" s="27"/>
    </row>
    <row r="2091">
      <c r="A2091" s="28"/>
      <c r="B2091" s="1"/>
      <c r="C2091" s="29"/>
      <c r="D2091" s="27"/>
      <c r="E2091" s="27"/>
      <c r="F2091" s="27"/>
    </row>
    <row r="2092">
      <c r="A2092" s="28"/>
      <c r="B2092" s="1"/>
      <c r="C2092" s="29"/>
      <c r="D2092" s="27"/>
      <c r="E2092" s="27"/>
      <c r="F2092" s="27"/>
    </row>
    <row r="2093">
      <c r="A2093" s="28"/>
      <c r="B2093" s="1"/>
      <c r="C2093" s="29"/>
      <c r="D2093" s="27"/>
      <c r="E2093" s="27"/>
      <c r="F2093" s="27"/>
    </row>
    <row r="2094">
      <c r="A2094" s="28"/>
      <c r="B2094" s="1"/>
      <c r="C2094" s="29"/>
      <c r="D2094" s="27"/>
      <c r="E2094" s="27"/>
      <c r="F2094" s="27"/>
    </row>
    <row r="2095">
      <c r="A2095" s="28"/>
      <c r="B2095" s="1"/>
      <c r="C2095" s="29"/>
      <c r="D2095" s="27"/>
      <c r="E2095" s="27"/>
      <c r="F2095" s="27"/>
    </row>
    <row r="2096">
      <c r="A2096" s="28"/>
      <c r="B2096" s="1"/>
      <c r="C2096" s="29"/>
      <c r="D2096" s="27"/>
      <c r="E2096" s="27"/>
      <c r="F2096" s="27"/>
    </row>
    <row r="2097">
      <c r="A2097" s="28"/>
      <c r="B2097" s="1"/>
      <c r="C2097" s="29"/>
      <c r="D2097" s="27"/>
      <c r="E2097" s="27"/>
      <c r="F2097" s="27"/>
    </row>
    <row r="2098">
      <c r="A2098" s="28"/>
      <c r="B2098" s="1"/>
      <c r="C2098" s="29"/>
      <c r="D2098" s="27"/>
      <c r="E2098" s="27"/>
      <c r="F2098" s="27"/>
    </row>
    <row r="2099">
      <c r="A2099" s="28"/>
      <c r="B2099" s="1"/>
      <c r="C2099" s="29"/>
      <c r="D2099" s="27"/>
      <c r="E2099" s="27"/>
      <c r="F2099" s="27"/>
    </row>
    <row r="2100">
      <c r="A2100" s="28"/>
      <c r="B2100" s="1"/>
      <c r="C2100" s="29"/>
      <c r="D2100" s="27"/>
      <c r="E2100" s="27"/>
      <c r="F2100" s="27"/>
    </row>
    <row r="2101">
      <c r="A2101" s="28"/>
      <c r="B2101" s="1"/>
      <c r="C2101" s="29"/>
      <c r="D2101" s="27"/>
      <c r="E2101" s="27"/>
      <c r="F2101" s="27"/>
    </row>
    <row r="2102">
      <c r="A2102" s="28"/>
      <c r="B2102" s="1"/>
      <c r="C2102" s="29"/>
      <c r="D2102" s="27"/>
      <c r="E2102" s="27"/>
      <c r="F2102" s="27"/>
    </row>
    <row r="2103">
      <c r="A2103" s="28"/>
      <c r="B2103" s="1"/>
      <c r="C2103" s="29"/>
      <c r="D2103" s="27"/>
      <c r="E2103" s="27"/>
      <c r="F2103" s="27"/>
    </row>
    <row r="2104">
      <c r="A2104" s="28"/>
      <c r="B2104" s="1"/>
      <c r="C2104" s="29"/>
      <c r="D2104" s="27"/>
      <c r="E2104" s="27"/>
      <c r="F2104" s="27"/>
    </row>
    <row r="2105">
      <c r="A2105" s="28"/>
      <c r="B2105" s="1"/>
      <c r="C2105" s="29"/>
      <c r="D2105" s="27"/>
      <c r="E2105" s="27"/>
      <c r="F2105" s="27"/>
    </row>
    <row r="2106">
      <c r="A2106" s="28"/>
      <c r="B2106" s="1"/>
      <c r="C2106" s="29"/>
      <c r="D2106" s="27"/>
      <c r="E2106" s="27"/>
      <c r="F2106" s="27"/>
    </row>
    <row r="2107">
      <c r="A2107" s="28"/>
      <c r="B2107" s="1"/>
      <c r="C2107" s="29"/>
      <c r="D2107" s="27"/>
      <c r="E2107" s="27"/>
      <c r="F2107" s="27"/>
    </row>
    <row r="2108">
      <c r="A2108" s="28"/>
      <c r="B2108" s="1"/>
      <c r="C2108" s="29"/>
      <c r="D2108" s="27"/>
      <c r="E2108" s="27"/>
      <c r="F2108" s="27"/>
    </row>
    <row r="2109">
      <c r="A2109" s="28"/>
      <c r="B2109" s="1"/>
      <c r="C2109" s="29"/>
      <c r="D2109" s="27"/>
      <c r="E2109" s="27"/>
      <c r="F2109" s="27"/>
    </row>
    <row r="2110">
      <c r="A2110" s="28"/>
      <c r="B2110" s="1"/>
      <c r="C2110" s="29"/>
      <c r="D2110" s="27"/>
      <c r="E2110" s="27"/>
      <c r="F2110" s="27"/>
    </row>
    <row r="2111">
      <c r="A2111" s="28"/>
      <c r="B2111" s="1"/>
      <c r="C2111" s="29"/>
      <c r="D2111" s="27"/>
      <c r="E2111" s="27"/>
      <c r="F2111" s="27"/>
    </row>
    <row r="2112">
      <c r="A2112" s="28"/>
      <c r="B2112" s="1"/>
      <c r="C2112" s="29"/>
      <c r="D2112" s="27"/>
      <c r="E2112" s="27"/>
      <c r="F2112" s="27"/>
    </row>
    <row r="2113">
      <c r="A2113" s="28"/>
      <c r="B2113" s="1"/>
      <c r="C2113" s="29"/>
      <c r="D2113" s="27"/>
      <c r="E2113" s="27"/>
      <c r="F2113" s="27"/>
    </row>
    <row r="2114">
      <c r="A2114" s="28"/>
      <c r="B2114" s="1"/>
      <c r="C2114" s="29"/>
      <c r="D2114" s="27"/>
      <c r="E2114" s="27"/>
      <c r="F2114" s="27"/>
    </row>
    <row r="2115">
      <c r="A2115" s="28"/>
      <c r="B2115" s="1"/>
      <c r="C2115" s="29"/>
      <c r="D2115" s="27"/>
      <c r="E2115" s="27"/>
      <c r="F2115" s="27"/>
    </row>
    <row r="2116">
      <c r="A2116" s="28"/>
      <c r="B2116" s="1"/>
      <c r="C2116" s="29"/>
      <c r="D2116" s="27"/>
      <c r="E2116" s="27"/>
      <c r="F2116" s="27"/>
    </row>
    <row r="2117">
      <c r="A2117" s="28"/>
      <c r="B2117" s="1"/>
      <c r="C2117" s="29"/>
      <c r="D2117" s="27"/>
      <c r="E2117" s="27"/>
      <c r="F2117" s="27"/>
    </row>
    <row r="2118">
      <c r="A2118" s="28"/>
      <c r="B2118" s="1"/>
      <c r="C2118" s="29"/>
      <c r="D2118" s="27"/>
      <c r="E2118" s="27"/>
      <c r="F2118" s="27"/>
    </row>
    <row r="2119">
      <c r="A2119" s="28"/>
      <c r="B2119" s="1"/>
      <c r="C2119" s="29"/>
      <c r="D2119" s="27"/>
      <c r="E2119" s="27"/>
      <c r="F2119" s="27"/>
    </row>
    <row r="2120">
      <c r="A2120" s="28"/>
      <c r="B2120" s="1"/>
      <c r="C2120" s="29"/>
      <c r="D2120" s="27"/>
      <c r="E2120" s="27"/>
      <c r="F2120" s="27"/>
    </row>
    <row r="2121">
      <c r="A2121" s="28"/>
      <c r="B2121" s="1"/>
      <c r="C2121" s="29"/>
      <c r="D2121" s="27"/>
      <c r="E2121" s="27"/>
      <c r="F2121" s="27"/>
    </row>
    <row r="2122">
      <c r="A2122" s="28"/>
      <c r="B2122" s="1"/>
      <c r="C2122" s="29"/>
      <c r="D2122" s="27"/>
      <c r="E2122" s="27"/>
      <c r="F2122" s="27"/>
    </row>
    <row r="2123">
      <c r="A2123" s="28"/>
      <c r="B2123" s="1"/>
      <c r="C2123" s="29"/>
      <c r="D2123" s="27"/>
      <c r="E2123" s="27"/>
      <c r="F2123" s="27"/>
    </row>
    <row r="2124">
      <c r="A2124" s="28"/>
      <c r="B2124" s="1"/>
      <c r="C2124" s="29"/>
      <c r="D2124" s="27"/>
      <c r="E2124" s="27"/>
      <c r="F2124" s="27"/>
    </row>
    <row r="2125">
      <c r="A2125" s="28"/>
      <c r="B2125" s="1"/>
      <c r="C2125" s="29"/>
      <c r="D2125" s="27"/>
      <c r="E2125" s="27"/>
      <c r="F2125" s="27"/>
    </row>
    <row r="2126">
      <c r="A2126" s="28"/>
      <c r="B2126" s="1"/>
      <c r="C2126" s="29"/>
      <c r="D2126" s="27"/>
      <c r="E2126" s="27"/>
      <c r="F2126" s="27"/>
    </row>
    <row r="2127">
      <c r="A2127" s="28"/>
      <c r="B2127" s="1"/>
      <c r="C2127" s="29"/>
      <c r="D2127" s="27"/>
      <c r="E2127" s="27"/>
      <c r="F2127" s="27"/>
    </row>
    <row r="2128">
      <c r="A2128" s="28"/>
      <c r="B2128" s="1"/>
      <c r="C2128" s="29"/>
      <c r="D2128" s="27"/>
      <c r="E2128" s="27"/>
      <c r="F2128" s="27"/>
    </row>
    <row r="2129">
      <c r="A2129" s="28"/>
      <c r="B2129" s="1"/>
      <c r="C2129" s="29"/>
      <c r="D2129" s="27"/>
      <c r="E2129" s="27"/>
      <c r="F2129" s="27"/>
    </row>
    <row r="2130">
      <c r="A2130" s="28"/>
      <c r="B2130" s="1"/>
      <c r="C2130" s="29"/>
      <c r="D2130" s="27"/>
      <c r="E2130" s="27"/>
      <c r="F2130" s="27"/>
    </row>
    <row r="2131">
      <c r="A2131" s="28"/>
      <c r="B2131" s="1"/>
      <c r="C2131" s="29"/>
      <c r="D2131" s="27"/>
      <c r="E2131" s="27"/>
      <c r="F2131" s="27"/>
    </row>
    <row r="2132">
      <c r="A2132" s="28"/>
      <c r="B2132" s="1"/>
      <c r="C2132" s="29"/>
      <c r="D2132" s="27"/>
      <c r="E2132" s="27"/>
      <c r="F2132" s="27"/>
    </row>
    <row r="2133">
      <c r="A2133" s="28"/>
      <c r="B2133" s="1"/>
      <c r="C2133" s="29"/>
      <c r="D2133" s="27"/>
      <c r="E2133" s="27"/>
      <c r="F2133" s="27"/>
    </row>
    <row r="2134">
      <c r="A2134" s="28"/>
      <c r="B2134" s="1"/>
      <c r="C2134" s="29"/>
      <c r="D2134" s="27"/>
      <c r="E2134" s="27"/>
      <c r="F2134" s="27"/>
    </row>
    <row r="2135">
      <c r="A2135" s="28"/>
      <c r="B2135" s="1"/>
      <c r="C2135" s="29"/>
      <c r="D2135" s="27"/>
      <c r="E2135" s="27"/>
      <c r="F2135" s="27"/>
    </row>
    <row r="2136">
      <c r="A2136" s="28"/>
      <c r="B2136" s="1"/>
      <c r="C2136" s="29"/>
      <c r="D2136" s="27"/>
      <c r="E2136" s="27"/>
      <c r="F2136" s="27"/>
    </row>
    <row r="2137">
      <c r="A2137" s="28"/>
      <c r="B2137" s="1"/>
      <c r="C2137" s="29"/>
      <c r="D2137" s="27"/>
      <c r="E2137" s="27"/>
      <c r="F2137" s="27"/>
    </row>
    <row r="2138">
      <c r="A2138" s="28"/>
      <c r="B2138" s="1"/>
      <c r="C2138" s="29"/>
      <c r="D2138" s="27"/>
      <c r="E2138" s="27"/>
      <c r="F2138" s="27"/>
    </row>
    <row r="2139">
      <c r="A2139" s="28"/>
      <c r="B2139" s="1"/>
      <c r="C2139" s="29"/>
      <c r="D2139" s="27"/>
      <c r="E2139" s="27"/>
      <c r="F2139" s="27"/>
    </row>
    <row r="2140">
      <c r="A2140" s="28"/>
      <c r="B2140" s="1"/>
      <c r="C2140" s="29"/>
      <c r="D2140" s="27"/>
      <c r="E2140" s="27"/>
      <c r="F2140" s="27"/>
    </row>
    <row r="2141">
      <c r="A2141" s="28"/>
      <c r="B2141" s="1"/>
      <c r="C2141" s="29"/>
      <c r="D2141" s="27"/>
      <c r="E2141" s="27"/>
      <c r="F2141" s="27"/>
    </row>
    <row r="2142">
      <c r="A2142" s="28"/>
      <c r="B2142" s="1"/>
      <c r="C2142" s="29"/>
      <c r="D2142" s="27"/>
      <c r="E2142" s="27"/>
      <c r="F2142" s="27"/>
    </row>
    <row r="2143">
      <c r="A2143" s="28"/>
      <c r="B2143" s="1"/>
      <c r="C2143" s="29"/>
      <c r="D2143" s="27"/>
      <c r="E2143" s="27"/>
      <c r="F2143" s="27"/>
    </row>
    <row r="2144">
      <c r="A2144" s="28"/>
      <c r="B2144" s="1"/>
      <c r="C2144" s="29"/>
      <c r="D2144" s="27"/>
      <c r="E2144" s="27"/>
      <c r="F2144" s="27"/>
    </row>
    <row r="2145">
      <c r="A2145" s="28"/>
      <c r="B2145" s="1"/>
      <c r="C2145" s="29"/>
      <c r="D2145" s="27"/>
      <c r="E2145" s="27"/>
      <c r="F2145" s="27"/>
    </row>
    <row r="2146">
      <c r="A2146" s="28"/>
      <c r="B2146" s="1"/>
      <c r="C2146" s="29"/>
      <c r="D2146" s="27"/>
      <c r="E2146" s="27"/>
      <c r="F2146" s="27"/>
    </row>
    <row r="2147">
      <c r="A2147" s="28"/>
      <c r="B2147" s="1"/>
      <c r="C2147" s="29"/>
      <c r="D2147" s="27"/>
      <c r="E2147" s="27"/>
      <c r="F2147" s="27"/>
    </row>
    <row r="2148">
      <c r="A2148" s="28"/>
      <c r="B2148" s="1"/>
      <c r="C2148" s="29"/>
      <c r="D2148" s="27"/>
      <c r="E2148" s="27"/>
      <c r="F2148" s="27"/>
    </row>
    <row r="2149">
      <c r="A2149" s="28"/>
      <c r="B2149" s="1"/>
      <c r="C2149" s="29"/>
      <c r="D2149" s="27"/>
      <c r="E2149" s="27"/>
      <c r="F2149" s="27"/>
    </row>
    <row r="2150">
      <c r="A2150" s="28"/>
      <c r="B2150" s="1"/>
      <c r="C2150" s="29"/>
      <c r="D2150" s="27"/>
      <c r="E2150" s="27"/>
      <c r="F2150" s="27"/>
    </row>
    <row r="2151">
      <c r="A2151" s="28"/>
      <c r="B2151" s="1"/>
      <c r="C2151" s="29"/>
      <c r="D2151" s="27"/>
      <c r="E2151" s="27"/>
      <c r="F2151" s="27"/>
    </row>
    <row r="2152">
      <c r="A2152" s="28"/>
      <c r="B2152" s="1"/>
      <c r="C2152" s="29"/>
      <c r="D2152" s="27"/>
      <c r="E2152" s="27"/>
      <c r="F2152" s="27"/>
    </row>
    <row r="2153">
      <c r="A2153" s="28"/>
      <c r="B2153" s="1"/>
      <c r="C2153" s="29"/>
      <c r="D2153" s="27"/>
      <c r="E2153" s="27"/>
      <c r="F2153" s="27"/>
    </row>
    <row r="2154">
      <c r="A2154" s="28"/>
      <c r="B2154" s="1"/>
      <c r="C2154" s="29"/>
      <c r="D2154" s="27"/>
      <c r="E2154" s="27"/>
      <c r="F2154" s="27"/>
    </row>
    <row r="2155">
      <c r="A2155" s="28"/>
      <c r="B2155" s="1"/>
      <c r="C2155" s="29"/>
      <c r="D2155" s="27"/>
      <c r="E2155" s="27"/>
      <c r="F2155" s="27"/>
    </row>
    <row r="2156">
      <c r="A2156" s="28"/>
      <c r="B2156" s="1"/>
      <c r="C2156" s="29"/>
      <c r="D2156" s="27"/>
      <c r="E2156" s="27"/>
      <c r="F2156" s="27"/>
    </row>
    <row r="2157">
      <c r="A2157" s="28"/>
      <c r="B2157" s="1"/>
      <c r="C2157" s="29"/>
      <c r="D2157" s="27"/>
      <c r="E2157" s="27"/>
      <c r="F2157" s="27"/>
    </row>
    <row r="2158">
      <c r="A2158" s="28"/>
      <c r="B2158" s="1"/>
      <c r="C2158" s="29"/>
      <c r="D2158" s="27"/>
      <c r="E2158" s="27"/>
      <c r="F2158" s="27"/>
    </row>
    <row r="2159">
      <c r="A2159" s="28"/>
      <c r="B2159" s="1"/>
      <c r="C2159" s="29"/>
      <c r="D2159" s="27"/>
      <c r="E2159" s="27"/>
      <c r="F2159" s="27"/>
    </row>
    <row r="2160">
      <c r="A2160" s="28"/>
      <c r="B2160" s="1"/>
      <c r="C2160" s="29"/>
      <c r="D2160" s="27"/>
      <c r="E2160" s="27"/>
      <c r="F2160" s="27"/>
    </row>
    <row r="2161">
      <c r="A2161" s="28"/>
      <c r="B2161" s="1"/>
      <c r="C2161" s="29"/>
      <c r="D2161" s="27"/>
      <c r="E2161" s="27"/>
      <c r="F2161" s="27"/>
    </row>
    <row r="2162">
      <c r="A2162" s="28"/>
      <c r="B2162" s="1"/>
      <c r="C2162" s="29"/>
      <c r="D2162" s="27"/>
      <c r="E2162" s="27"/>
      <c r="F2162" s="27"/>
    </row>
    <row r="2163">
      <c r="A2163" s="28"/>
      <c r="B2163" s="1"/>
      <c r="C2163" s="29"/>
      <c r="D2163" s="27"/>
      <c r="E2163" s="27"/>
      <c r="F2163" s="27"/>
    </row>
    <row r="2164">
      <c r="A2164" s="28"/>
      <c r="B2164" s="1"/>
      <c r="C2164" s="29"/>
      <c r="D2164" s="27"/>
      <c r="E2164" s="27"/>
      <c r="F2164" s="27"/>
    </row>
    <row r="2165">
      <c r="A2165" s="28"/>
      <c r="B2165" s="1"/>
      <c r="C2165" s="29"/>
      <c r="D2165" s="27"/>
      <c r="E2165" s="27"/>
      <c r="F2165" s="27"/>
    </row>
    <row r="2166">
      <c r="A2166" s="28"/>
      <c r="B2166" s="1"/>
      <c r="C2166" s="29"/>
      <c r="D2166" s="27"/>
      <c r="E2166" s="27"/>
      <c r="F2166" s="27"/>
    </row>
    <row r="2167">
      <c r="A2167" s="28"/>
      <c r="B2167" s="1"/>
      <c r="C2167" s="29"/>
      <c r="D2167" s="27"/>
      <c r="E2167" s="27"/>
      <c r="F2167" s="27"/>
    </row>
    <row r="2168">
      <c r="A2168" s="28"/>
      <c r="B2168" s="1"/>
      <c r="C2168" s="29"/>
      <c r="D2168" s="27"/>
      <c r="E2168" s="27"/>
      <c r="F2168" s="27"/>
    </row>
    <row r="2169">
      <c r="A2169" s="28"/>
      <c r="B2169" s="1"/>
      <c r="C2169" s="29"/>
      <c r="D2169" s="27"/>
      <c r="E2169" s="27"/>
      <c r="F2169" s="27"/>
    </row>
    <row r="2170">
      <c r="A2170" s="28"/>
      <c r="B2170" s="1"/>
      <c r="C2170" s="29"/>
      <c r="D2170" s="27"/>
      <c r="E2170" s="27"/>
      <c r="F2170" s="27"/>
    </row>
    <row r="2171">
      <c r="A2171" s="28"/>
      <c r="B2171" s="1"/>
      <c r="C2171" s="29"/>
      <c r="D2171" s="27"/>
      <c r="E2171" s="27"/>
      <c r="F2171" s="27"/>
    </row>
    <row r="2172">
      <c r="A2172" s="28"/>
      <c r="B2172" s="1"/>
      <c r="C2172" s="29"/>
      <c r="D2172" s="27"/>
      <c r="E2172" s="27"/>
      <c r="F2172" s="27"/>
    </row>
    <row r="2173">
      <c r="A2173" s="28"/>
      <c r="B2173" s="1"/>
      <c r="C2173" s="29"/>
      <c r="D2173" s="27"/>
      <c r="E2173" s="27"/>
      <c r="F2173" s="27"/>
    </row>
    <row r="2174">
      <c r="A2174" s="28"/>
      <c r="B2174" s="1"/>
      <c r="C2174" s="29"/>
      <c r="D2174" s="27"/>
      <c r="E2174" s="27"/>
      <c r="F2174" s="27"/>
    </row>
    <row r="2175">
      <c r="A2175" s="28"/>
      <c r="B2175" s="1"/>
      <c r="C2175" s="29"/>
      <c r="D2175" s="27"/>
      <c r="E2175" s="27"/>
      <c r="F2175" s="27"/>
    </row>
    <row r="2176">
      <c r="A2176" s="28"/>
      <c r="B2176" s="1"/>
      <c r="C2176" s="29"/>
      <c r="D2176" s="27"/>
      <c r="E2176" s="27"/>
      <c r="F2176" s="27"/>
    </row>
    <row r="2177">
      <c r="A2177" s="28"/>
      <c r="B2177" s="1"/>
      <c r="C2177" s="29"/>
      <c r="D2177" s="27"/>
      <c r="E2177" s="27"/>
      <c r="F2177" s="27"/>
    </row>
    <row r="2178">
      <c r="A2178" s="28"/>
      <c r="B2178" s="1"/>
      <c r="C2178" s="29"/>
      <c r="D2178" s="27"/>
      <c r="E2178" s="27"/>
      <c r="F2178" s="27"/>
    </row>
    <row r="2179">
      <c r="A2179" s="28"/>
      <c r="B2179" s="1"/>
      <c r="C2179" s="29"/>
      <c r="D2179" s="27"/>
      <c r="E2179" s="27"/>
      <c r="F2179" s="27"/>
    </row>
    <row r="2180">
      <c r="A2180" s="28"/>
      <c r="B2180" s="1"/>
      <c r="C2180" s="29"/>
      <c r="D2180" s="27"/>
      <c r="E2180" s="27"/>
      <c r="F2180" s="27"/>
    </row>
    <row r="2181">
      <c r="A2181" s="28"/>
      <c r="B2181" s="1"/>
      <c r="C2181" s="29"/>
      <c r="D2181" s="27"/>
      <c r="E2181" s="27"/>
      <c r="F2181" s="27"/>
    </row>
    <row r="2182">
      <c r="A2182" s="28"/>
      <c r="B2182" s="1"/>
      <c r="C2182" s="29"/>
      <c r="D2182" s="27"/>
      <c r="E2182" s="27"/>
      <c r="F2182" s="27"/>
    </row>
    <row r="2183">
      <c r="A2183" s="28"/>
      <c r="B2183" s="1"/>
      <c r="C2183" s="29"/>
      <c r="D2183" s="27"/>
      <c r="E2183" s="27"/>
      <c r="F2183" s="27"/>
    </row>
    <row r="2184">
      <c r="A2184" s="28"/>
      <c r="B2184" s="1"/>
      <c r="C2184" s="29"/>
      <c r="D2184" s="27"/>
      <c r="E2184" s="27"/>
      <c r="F2184" s="27"/>
    </row>
    <row r="2185">
      <c r="A2185" s="28"/>
      <c r="B2185" s="1"/>
      <c r="C2185" s="29"/>
      <c r="D2185" s="27"/>
      <c r="E2185" s="27"/>
      <c r="F2185" s="27"/>
    </row>
    <row r="2186">
      <c r="A2186" s="28"/>
      <c r="B2186" s="1"/>
      <c r="C2186" s="29"/>
      <c r="D2186" s="27"/>
      <c r="E2186" s="27"/>
      <c r="F2186" s="27"/>
    </row>
    <row r="2187">
      <c r="A2187" s="28"/>
      <c r="B2187" s="1"/>
      <c r="C2187" s="29"/>
      <c r="D2187" s="27"/>
      <c r="E2187" s="27"/>
      <c r="F2187" s="27"/>
    </row>
    <row r="2188">
      <c r="A2188" s="28"/>
      <c r="B2188" s="1"/>
      <c r="C2188" s="29"/>
      <c r="D2188" s="27"/>
      <c r="E2188" s="27"/>
      <c r="F2188" s="27"/>
    </row>
    <row r="2189">
      <c r="A2189" s="28"/>
      <c r="B2189" s="1"/>
      <c r="C2189" s="29"/>
      <c r="D2189" s="27"/>
      <c r="E2189" s="27"/>
      <c r="F2189" s="27"/>
    </row>
    <row r="2190">
      <c r="A2190" s="28"/>
      <c r="B2190" s="1"/>
      <c r="C2190" s="29"/>
      <c r="D2190" s="27"/>
      <c r="E2190" s="27"/>
      <c r="F2190" s="27"/>
    </row>
    <row r="2191">
      <c r="A2191" s="28"/>
      <c r="B2191" s="1"/>
      <c r="C2191" s="29"/>
      <c r="D2191" s="27"/>
      <c r="E2191" s="27"/>
      <c r="F2191" s="27"/>
    </row>
    <row r="2192">
      <c r="A2192" s="28"/>
      <c r="B2192" s="1"/>
      <c r="C2192" s="29"/>
      <c r="D2192" s="27"/>
      <c r="E2192" s="27"/>
      <c r="F2192" s="27"/>
    </row>
    <row r="2193">
      <c r="A2193" s="28"/>
      <c r="B2193" s="1"/>
      <c r="C2193" s="29"/>
      <c r="D2193" s="27"/>
      <c r="E2193" s="27"/>
      <c r="F2193" s="27"/>
    </row>
    <row r="2194">
      <c r="A2194" s="28"/>
      <c r="B2194" s="1"/>
      <c r="C2194" s="29"/>
      <c r="D2194" s="27"/>
      <c r="E2194" s="27"/>
      <c r="F2194" s="27"/>
    </row>
    <row r="2195">
      <c r="A2195" s="28"/>
      <c r="B2195" s="1"/>
      <c r="C2195" s="29"/>
      <c r="D2195" s="27"/>
      <c r="E2195" s="27"/>
      <c r="F2195" s="27"/>
    </row>
    <row r="2196">
      <c r="A2196" s="28"/>
      <c r="B2196" s="1"/>
      <c r="C2196" s="29"/>
      <c r="D2196" s="27"/>
      <c r="E2196" s="27"/>
      <c r="F2196" s="27"/>
    </row>
    <row r="2197">
      <c r="A2197" s="28"/>
      <c r="B2197" s="1"/>
      <c r="C2197" s="29"/>
      <c r="D2197" s="27"/>
      <c r="E2197" s="27"/>
      <c r="F2197" s="27"/>
    </row>
    <row r="2198">
      <c r="A2198" s="28"/>
      <c r="B2198" s="1"/>
      <c r="C2198" s="29"/>
      <c r="D2198" s="27"/>
      <c r="E2198" s="27"/>
      <c r="F2198" s="27"/>
    </row>
    <row r="2199">
      <c r="A2199" s="28"/>
      <c r="B2199" s="1"/>
      <c r="C2199" s="29"/>
      <c r="D2199" s="27"/>
      <c r="E2199" s="27"/>
      <c r="F2199" s="27"/>
    </row>
    <row r="2200">
      <c r="A2200" s="28"/>
      <c r="B2200" s="1"/>
      <c r="C2200" s="29"/>
      <c r="D2200" s="27"/>
      <c r="E2200" s="27"/>
      <c r="F2200" s="27"/>
    </row>
    <row r="2201">
      <c r="A2201" s="28"/>
      <c r="B2201" s="1"/>
      <c r="C2201" s="29"/>
      <c r="D2201" s="27"/>
      <c r="E2201" s="27"/>
      <c r="F2201" s="27"/>
    </row>
    <row r="2202">
      <c r="A2202" s="28"/>
      <c r="B2202" s="1"/>
      <c r="C2202" s="29"/>
      <c r="D2202" s="27"/>
      <c r="E2202" s="27"/>
      <c r="F2202" s="27"/>
    </row>
    <row r="2203">
      <c r="A2203" s="28"/>
      <c r="B2203" s="1"/>
      <c r="C2203" s="29"/>
      <c r="D2203" s="27"/>
      <c r="E2203" s="27"/>
      <c r="F2203" s="27"/>
    </row>
    <row r="2204">
      <c r="A2204" s="28"/>
      <c r="B2204" s="1"/>
      <c r="C2204" s="29"/>
      <c r="D2204" s="27"/>
      <c r="E2204" s="27"/>
      <c r="F2204" s="27"/>
    </row>
    <row r="2205">
      <c r="A2205" s="28"/>
      <c r="B2205" s="1"/>
      <c r="C2205" s="29"/>
      <c r="D2205" s="27"/>
      <c r="E2205" s="27"/>
      <c r="F2205" s="27"/>
    </row>
    <row r="2206">
      <c r="A2206" s="28"/>
      <c r="B2206" s="1"/>
      <c r="C2206" s="29"/>
      <c r="D2206" s="27"/>
      <c r="E2206" s="27"/>
      <c r="F2206" s="27"/>
    </row>
    <row r="2207">
      <c r="A2207" s="28"/>
      <c r="B2207" s="1"/>
      <c r="C2207" s="29"/>
      <c r="D2207" s="27"/>
      <c r="E2207" s="27"/>
      <c r="F2207" s="27"/>
    </row>
    <row r="2208">
      <c r="A2208" s="28"/>
      <c r="B2208" s="1"/>
      <c r="C2208" s="29"/>
      <c r="D2208" s="27"/>
      <c r="E2208" s="27"/>
      <c r="F2208" s="27"/>
    </row>
    <row r="2209">
      <c r="A2209" s="28"/>
      <c r="B2209" s="1"/>
      <c r="C2209" s="29"/>
      <c r="D2209" s="27"/>
      <c r="E2209" s="27"/>
      <c r="F2209" s="27"/>
    </row>
    <row r="2210">
      <c r="A2210" s="28"/>
      <c r="B2210" s="1"/>
      <c r="C2210" s="29"/>
      <c r="D2210" s="27"/>
      <c r="E2210" s="27"/>
      <c r="F2210" s="27"/>
    </row>
    <row r="2211">
      <c r="A2211" s="28"/>
      <c r="B2211" s="1"/>
      <c r="C2211" s="29"/>
      <c r="D2211" s="27"/>
      <c r="E2211" s="27"/>
      <c r="F2211" s="27"/>
    </row>
    <row r="2212">
      <c r="A2212" s="28"/>
      <c r="B2212" s="1"/>
      <c r="C2212" s="29"/>
      <c r="D2212" s="27"/>
      <c r="E2212" s="27"/>
      <c r="F2212" s="27"/>
    </row>
    <row r="2213">
      <c r="A2213" s="28"/>
      <c r="B2213" s="1"/>
      <c r="C2213" s="29"/>
      <c r="D2213" s="27"/>
      <c r="E2213" s="27"/>
      <c r="F2213" s="27"/>
    </row>
    <row r="2214">
      <c r="A2214" s="28"/>
      <c r="B2214" s="1"/>
      <c r="C2214" s="29"/>
      <c r="D2214" s="27"/>
      <c r="E2214" s="27"/>
      <c r="F2214" s="27"/>
    </row>
    <row r="2215">
      <c r="A2215" s="28"/>
      <c r="B2215" s="1"/>
      <c r="C2215" s="29"/>
      <c r="D2215" s="27"/>
      <c r="E2215" s="27"/>
      <c r="F2215" s="27"/>
    </row>
    <row r="2216">
      <c r="A2216" s="28"/>
      <c r="B2216" s="1"/>
      <c r="C2216" s="29"/>
      <c r="D2216" s="27"/>
      <c r="E2216" s="27"/>
      <c r="F2216" s="27"/>
    </row>
    <row r="2217">
      <c r="A2217" s="28"/>
      <c r="B2217" s="1"/>
      <c r="C2217" s="29"/>
      <c r="D2217" s="27"/>
      <c r="E2217" s="27"/>
      <c r="F2217" s="27"/>
    </row>
    <row r="2218">
      <c r="A2218" s="28"/>
      <c r="B2218" s="1"/>
      <c r="C2218" s="29"/>
      <c r="D2218" s="27"/>
      <c r="E2218" s="27"/>
      <c r="F2218" s="27"/>
    </row>
    <row r="2219">
      <c r="A2219" s="28"/>
      <c r="B2219" s="1"/>
      <c r="C2219" s="29"/>
      <c r="D2219" s="27"/>
      <c r="E2219" s="27"/>
      <c r="F2219" s="27"/>
    </row>
    <row r="2220">
      <c r="A2220" s="28"/>
      <c r="B2220" s="1"/>
      <c r="C2220" s="29"/>
      <c r="D2220" s="27"/>
      <c r="E2220" s="27"/>
      <c r="F2220" s="27"/>
    </row>
    <row r="2221">
      <c r="A2221" s="28"/>
      <c r="B2221" s="1"/>
      <c r="C2221" s="29"/>
      <c r="D2221" s="27"/>
      <c r="E2221" s="27"/>
      <c r="F2221" s="27"/>
    </row>
    <row r="2222">
      <c r="A2222" s="28"/>
      <c r="B2222" s="1"/>
      <c r="C2222" s="29"/>
      <c r="D2222" s="27"/>
      <c r="E2222" s="27"/>
      <c r="F2222" s="27"/>
    </row>
    <row r="2223">
      <c r="A2223" s="28"/>
      <c r="B2223" s="1"/>
      <c r="C2223" s="29"/>
      <c r="D2223" s="27"/>
      <c r="E2223" s="27"/>
      <c r="F2223" s="27"/>
    </row>
    <row r="2224">
      <c r="A2224" s="28"/>
      <c r="B2224" s="1"/>
      <c r="C2224" s="29"/>
      <c r="D2224" s="27"/>
      <c r="E2224" s="27"/>
      <c r="F2224" s="27"/>
    </row>
    <row r="2225">
      <c r="A2225" s="28"/>
      <c r="B2225" s="1"/>
      <c r="C2225" s="29"/>
      <c r="D2225" s="27"/>
      <c r="E2225" s="27"/>
      <c r="F2225" s="27"/>
    </row>
    <row r="2226">
      <c r="A2226" s="28"/>
      <c r="B2226" s="1"/>
      <c r="C2226" s="29"/>
      <c r="D2226" s="27"/>
      <c r="E2226" s="27"/>
      <c r="F2226" s="27"/>
    </row>
    <row r="2227">
      <c r="A2227" s="28"/>
      <c r="B2227" s="1"/>
      <c r="C2227" s="29"/>
      <c r="D2227" s="27"/>
      <c r="E2227" s="27"/>
      <c r="F2227" s="27"/>
    </row>
    <row r="2228">
      <c r="A2228" s="28"/>
      <c r="B2228" s="1"/>
      <c r="C2228" s="29"/>
      <c r="D2228" s="27"/>
      <c r="E2228" s="27"/>
      <c r="F2228" s="27"/>
    </row>
    <row r="2229">
      <c r="A2229" s="28"/>
      <c r="B2229" s="1"/>
      <c r="C2229" s="29"/>
      <c r="D2229" s="27"/>
      <c r="E2229" s="27"/>
      <c r="F2229" s="27"/>
    </row>
    <row r="2230">
      <c r="A2230" s="28"/>
      <c r="B2230" s="1"/>
      <c r="C2230" s="29"/>
      <c r="D2230" s="27"/>
      <c r="E2230" s="27"/>
      <c r="F2230" s="27"/>
    </row>
    <row r="2231">
      <c r="A2231" s="28"/>
      <c r="B2231" s="1"/>
      <c r="C2231" s="29"/>
      <c r="D2231" s="27"/>
      <c r="E2231" s="27"/>
      <c r="F2231" s="27"/>
    </row>
    <row r="2232">
      <c r="A2232" s="28"/>
      <c r="B2232" s="1"/>
      <c r="C2232" s="29"/>
      <c r="D2232" s="27"/>
      <c r="E2232" s="27"/>
      <c r="F2232" s="27"/>
    </row>
    <row r="2233">
      <c r="A2233" s="28"/>
      <c r="B2233" s="1"/>
      <c r="C2233" s="29"/>
      <c r="D2233" s="27"/>
      <c r="E2233" s="27"/>
      <c r="F2233" s="27"/>
    </row>
    <row r="2234">
      <c r="A2234" s="28"/>
      <c r="B2234" s="1"/>
      <c r="C2234" s="29"/>
      <c r="D2234" s="27"/>
      <c r="E2234" s="27"/>
      <c r="F2234" s="27"/>
    </row>
    <row r="2235">
      <c r="A2235" s="28"/>
      <c r="B2235" s="1"/>
      <c r="C2235" s="29"/>
      <c r="D2235" s="27"/>
      <c r="E2235" s="27"/>
      <c r="F2235" s="27"/>
    </row>
    <row r="2236">
      <c r="A2236" s="28"/>
      <c r="B2236" s="1"/>
      <c r="C2236" s="29"/>
      <c r="D2236" s="27"/>
      <c r="E2236" s="27"/>
      <c r="F2236" s="27"/>
    </row>
    <row r="2237">
      <c r="A2237" s="28"/>
      <c r="B2237" s="1"/>
      <c r="C2237" s="29"/>
      <c r="D2237" s="27"/>
      <c r="E2237" s="27"/>
      <c r="F2237" s="27"/>
    </row>
    <row r="2238">
      <c r="A2238" s="28"/>
      <c r="B2238" s="1"/>
      <c r="C2238" s="29"/>
      <c r="D2238" s="27"/>
      <c r="E2238" s="27"/>
      <c r="F2238" s="27"/>
    </row>
    <row r="2239">
      <c r="A2239" s="28"/>
      <c r="B2239" s="1"/>
      <c r="C2239" s="29"/>
      <c r="D2239" s="27"/>
      <c r="E2239" s="27"/>
      <c r="F2239" s="27"/>
    </row>
    <row r="2240">
      <c r="A2240" s="28"/>
      <c r="B2240" s="1"/>
      <c r="C2240" s="29"/>
      <c r="D2240" s="27"/>
      <c r="E2240" s="27"/>
      <c r="F2240" s="27"/>
    </row>
    <row r="2241">
      <c r="A2241" s="28"/>
      <c r="B2241" s="1"/>
      <c r="C2241" s="29"/>
      <c r="D2241" s="27"/>
      <c r="E2241" s="27"/>
      <c r="F2241" s="27"/>
    </row>
    <row r="2242">
      <c r="A2242" s="28"/>
      <c r="B2242" s="1"/>
      <c r="C2242" s="29"/>
      <c r="D2242" s="27"/>
      <c r="E2242" s="27"/>
      <c r="F2242" s="27"/>
    </row>
    <row r="2243">
      <c r="A2243" s="28"/>
      <c r="B2243" s="1"/>
      <c r="C2243" s="29"/>
      <c r="D2243" s="27"/>
      <c r="E2243" s="27"/>
      <c r="F2243" s="27"/>
    </row>
    <row r="2244">
      <c r="A2244" s="28"/>
      <c r="B2244" s="1"/>
      <c r="C2244" s="29"/>
      <c r="D2244" s="27"/>
      <c r="E2244" s="27"/>
      <c r="F2244" s="27"/>
    </row>
    <row r="2245">
      <c r="A2245" s="28"/>
      <c r="B2245" s="1"/>
      <c r="C2245" s="29"/>
      <c r="D2245" s="27"/>
      <c r="E2245" s="27"/>
      <c r="F2245" s="27"/>
    </row>
    <row r="2246">
      <c r="A2246" s="28"/>
      <c r="B2246" s="1"/>
      <c r="C2246" s="29"/>
      <c r="D2246" s="27"/>
      <c r="E2246" s="27"/>
      <c r="F2246" s="27"/>
    </row>
    <row r="2247">
      <c r="A2247" s="28"/>
      <c r="B2247" s="1"/>
      <c r="C2247" s="29"/>
      <c r="D2247" s="27"/>
      <c r="E2247" s="27"/>
      <c r="F2247" s="27"/>
    </row>
    <row r="2248">
      <c r="A2248" s="28"/>
      <c r="B2248" s="1"/>
      <c r="C2248" s="29"/>
      <c r="D2248" s="27"/>
      <c r="E2248" s="27"/>
      <c r="F2248" s="27"/>
    </row>
    <row r="2249">
      <c r="A2249" s="28"/>
      <c r="B2249" s="1"/>
      <c r="C2249" s="29"/>
      <c r="D2249" s="27"/>
      <c r="E2249" s="27"/>
      <c r="F2249" s="27"/>
    </row>
    <row r="2250">
      <c r="A2250" s="28"/>
      <c r="B2250" s="1"/>
      <c r="C2250" s="29"/>
      <c r="D2250" s="27"/>
      <c r="E2250" s="27"/>
      <c r="F2250" s="27"/>
    </row>
    <row r="2251">
      <c r="A2251" s="28"/>
      <c r="B2251" s="1"/>
      <c r="C2251" s="29"/>
      <c r="D2251" s="27"/>
      <c r="E2251" s="27"/>
      <c r="F2251" s="27"/>
    </row>
    <row r="2252">
      <c r="A2252" s="28"/>
      <c r="B2252" s="1"/>
      <c r="C2252" s="29"/>
      <c r="D2252" s="27"/>
      <c r="E2252" s="27"/>
      <c r="F2252" s="27"/>
    </row>
    <row r="2253">
      <c r="A2253" s="28"/>
      <c r="B2253" s="1"/>
      <c r="C2253" s="29"/>
      <c r="D2253" s="27"/>
      <c r="E2253" s="27"/>
      <c r="F2253" s="27"/>
    </row>
    <row r="2254">
      <c r="A2254" s="28"/>
      <c r="B2254" s="1"/>
      <c r="C2254" s="29"/>
      <c r="D2254" s="27"/>
      <c r="E2254" s="27"/>
      <c r="F2254" s="27"/>
    </row>
    <row r="2255">
      <c r="A2255" s="28"/>
      <c r="B2255" s="1"/>
      <c r="C2255" s="29"/>
      <c r="D2255" s="27"/>
      <c r="E2255" s="27"/>
      <c r="F2255" s="27"/>
    </row>
    <row r="2256">
      <c r="A2256" s="28"/>
      <c r="B2256" s="1"/>
      <c r="C2256" s="29"/>
      <c r="D2256" s="27"/>
      <c r="E2256" s="27"/>
      <c r="F2256" s="27"/>
    </row>
    <row r="2257">
      <c r="A2257" s="28"/>
      <c r="B2257" s="1"/>
      <c r="C2257" s="29"/>
      <c r="D2257" s="27"/>
      <c r="E2257" s="27"/>
      <c r="F2257" s="27"/>
    </row>
    <row r="2258">
      <c r="A2258" s="28"/>
      <c r="B2258" s="1"/>
      <c r="C2258" s="29"/>
      <c r="D2258" s="27"/>
      <c r="E2258" s="27"/>
      <c r="F2258" s="27"/>
    </row>
    <row r="2259">
      <c r="A2259" s="28"/>
      <c r="B2259" s="1"/>
      <c r="C2259" s="29"/>
      <c r="D2259" s="27"/>
      <c r="E2259" s="27"/>
      <c r="F2259" s="27"/>
    </row>
    <row r="2260">
      <c r="A2260" s="28"/>
      <c r="B2260" s="1"/>
      <c r="C2260" s="29"/>
      <c r="D2260" s="27"/>
      <c r="E2260" s="27"/>
      <c r="F2260" s="27"/>
    </row>
    <row r="2261">
      <c r="A2261" s="28"/>
      <c r="B2261" s="1"/>
      <c r="C2261" s="29"/>
      <c r="D2261" s="27"/>
      <c r="E2261" s="27"/>
      <c r="F2261" s="27"/>
    </row>
    <row r="2262">
      <c r="A2262" s="28"/>
      <c r="B2262" s="1"/>
      <c r="C2262" s="29"/>
      <c r="D2262" s="27"/>
      <c r="E2262" s="27"/>
      <c r="F2262" s="27"/>
    </row>
    <row r="2263">
      <c r="A2263" s="28"/>
      <c r="B2263" s="1"/>
      <c r="C2263" s="29"/>
      <c r="D2263" s="27"/>
      <c r="E2263" s="27"/>
      <c r="F2263" s="27"/>
    </row>
    <row r="2264">
      <c r="A2264" s="28"/>
      <c r="B2264" s="1"/>
      <c r="C2264" s="29"/>
      <c r="D2264" s="27"/>
      <c r="E2264" s="27"/>
      <c r="F2264" s="27"/>
    </row>
    <row r="2265">
      <c r="A2265" s="28"/>
      <c r="B2265" s="1"/>
      <c r="C2265" s="29"/>
      <c r="D2265" s="27"/>
      <c r="E2265" s="27"/>
      <c r="F2265" s="27"/>
    </row>
    <row r="2266">
      <c r="A2266" s="28"/>
      <c r="B2266" s="1"/>
      <c r="C2266" s="29"/>
      <c r="D2266" s="27"/>
      <c r="E2266" s="27"/>
      <c r="F2266" s="27"/>
    </row>
    <row r="2267">
      <c r="A2267" s="28"/>
      <c r="B2267" s="1"/>
      <c r="C2267" s="29"/>
      <c r="D2267" s="27"/>
      <c r="E2267" s="27"/>
      <c r="F2267" s="27"/>
    </row>
    <row r="2268">
      <c r="A2268" s="28"/>
      <c r="B2268" s="1"/>
      <c r="C2268" s="29"/>
      <c r="D2268" s="27"/>
      <c r="E2268" s="27"/>
      <c r="F2268" s="27"/>
    </row>
    <row r="2269">
      <c r="A2269" s="28"/>
      <c r="B2269" s="1"/>
      <c r="C2269" s="29"/>
      <c r="D2269" s="27"/>
      <c r="E2269" s="27"/>
      <c r="F2269" s="27"/>
    </row>
    <row r="2270">
      <c r="A2270" s="28"/>
      <c r="B2270" s="1"/>
      <c r="C2270" s="29"/>
      <c r="D2270" s="27"/>
      <c r="E2270" s="27"/>
      <c r="F2270" s="27"/>
    </row>
    <row r="2271">
      <c r="A2271" s="28"/>
      <c r="B2271" s="1"/>
      <c r="C2271" s="29"/>
      <c r="D2271" s="27"/>
      <c r="E2271" s="27"/>
      <c r="F2271" s="27"/>
    </row>
    <row r="2272">
      <c r="A2272" s="28"/>
      <c r="B2272" s="1"/>
      <c r="C2272" s="29"/>
      <c r="D2272" s="27"/>
      <c r="E2272" s="27"/>
      <c r="F2272" s="27"/>
    </row>
    <row r="2273">
      <c r="A2273" s="28"/>
      <c r="B2273" s="1"/>
      <c r="C2273" s="29"/>
      <c r="D2273" s="27"/>
      <c r="E2273" s="27"/>
      <c r="F2273" s="27"/>
    </row>
    <row r="2274">
      <c r="A2274" s="28"/>
      <c r="B2274" s="1"/>
      <c r="C2274" s="29"/>
      <c r="D2274" s="27"/>
      <c r="E2274" s="27"/>
      <c r="F2274" s="27"/>
    </row>
    <row r="2275">
      <c r="A2275" s="28"/>
      <c r="B2275" s="1"/>
      <c r="C2275" s="29"/>
      <c r="D2275" s="27"/>
      <c r="E2275" s="27"/>
      <c r="F2275" s="27"/>
    </row>
    <row r="2276">
      <c r="A2276" s="28"/>
      <c r="B2276" s="1"/>
      <c r="C2276" s="29"/>
      <c r="D2276" s="27"/>
      <c r="E2276" s="27"/>
      <c r="F2276" s="27"/>
    </row>
    <row r="2277">
      <c r="A2277" s="28"/>
      <c r="B2277" s="1"/>
      <c r="C2277" s="29"/>
      <c r="D2277" s="27"/>
      <c r="E2277" s="27"/>
      <c r="F2277" s="27"/>
    </row>
    <row r="2278">
      <c r="A2278" s="28"/>
      <c r="B2278" s="1"/>
      <c r="C2278" s="29"/>
      <c r="D2278" s="27"/>
      <c r="E2278" s="27"/>
      <c r="F2278" s="27"/>
    </row>
    <row r="2279">
      <c r="A2279" s="28"/>
      <c r="B2279" s="1"/>
      <c r="C2279" s="29"/>
      <c r="D2279" s="27"/>
      <c r="E2279" s="27"/>
      <c r="F2279" s="27"/>
    </row>
    <row r="2280">
      <c r="A2280" s="28"/>
      <c r="B2280" s="1"/>
      <c r="C2280" s="29"/>
      <c r="D2280" s="27"/>
      <c r="E2280" s="27"/>
      <c r="F2280" s="27"/>
    </row>
    <row r="2281">
      <c r="A2281" s="28"/>
      <c r="B2281" s="1"/>
      <c r="C2281" s="29"/>
      <c r="D2281" s="27"/>
      <c r="E2281" s="27"/>
      <c r="F2281" s="27"/>
    </row>
    <row r="2282">
      <c r="A2282" s="28"/>
      <c r="B2282" s="1"/>
      <c r="C2282" s="29"/>
      <c r="D2282" s="27"/>
      <c r="E2282" s="27"/>
      <c r="F2282" s="27"/>
    </row>
    <row r="2283">
      <c r="A2283" s="28"/>
      <c r="B2283" s="1"/>
      <c r="C2283" s="29"/>
      <c r="D2283" s="27"/>
      <c r="E2283" s="27"/>
      <c r="F2283" s="27"/>
    </row>
    <row r="2284">
      <c r="A2284" s="28"/>
      <c r="B2284" s="1"/>
      <c r="C2284" s="29"/>
      <c r="D2284" s="27"/>
      <c r="E2284" s="27"/>
      <c r="F2284" s="27"/>
    </row>
    <row r="2285">
      <c r="A2285" s="28"/>
      <c r="B2285" s="1"/>
      <c r="C2285" s="29"/>
      <c r="D2285" s="27"/>
      <c r="E2285" s="27"/>
      <c r="F2285" s="27"/>
    </row>
    <row r="2286">
      <c r="A2286" s="28"/>
      <c r="B2286" s="1"/>
      <c r="C2286" s="29"/>
      <c r="D2286" s="27"/>
      <c r="E2286" s="27"/>
      <c r="F2286" s="27"/>
    </row>
    <row r="2287">
      <c r="A2287" s="28"/>
      <c r="B2287" s="1"/>
      <c r="C2287" s="29"/>
      <c r="D2287" s="27"/>
      <c r="E2287" s="27"/>
      <c r="F2287" s="27"/>
    </row>
    <row r="2288">
      <c r="A2288" s="28"/>
      <c r="B2288" s="1"/>
      <c r="C2288" s="29"/>
      <c r="D2288" s="27"/>
      <c r="E2288" s="27"/>
      <c r="F2288" s="27"/>
    </row>
    <row r="2289">
      <c r="A2289" s="28"/>
      <c r="B2289" s="1"/>
      <c r="C2289" s="29"/>
      <c r="D2289" s="27"/>
      <c r="E2289" s="27"/>
      <c r="F2289" s="27"/>
    </row>
    <row r="2290">
      <c r="A2290" s="28"/>
      <c r="B2290" s="1"/>
      <c r="C2290" s="29"/>
      <c r="D2290" s="27"/>
      <c r="E2290" s="27"/>
      <c r="F2290" s="27"/>
    </row>
    <row r="2291">
      <c r="A2291" s="28"/>
      <c r="B2291" s="1"/>
      <c r="C2291" s="29"/>
      <c r="D2291" s="27"/>
      <c r="E2291" s="27"/>
      <c r="F2291" s="27"/>
    </row>
    <row r="2292">
      <c r="A2292" s="28"/>
      <c r="B2292" s="1"/>
      <c r="C2292" s="29"/>
      <c r="D2292" s="27"/>
      <c r="E2292" s="27"/>
      <c r="F2292" s="27"/>
    </row>
    <row r="2293">
      <c r="A2293" s="28"/>
      <c r="B2293" s="1"/>
      <c r="C2293" s="29"/>
      <c r="D2293" s="27"/>
      <c r="E2293" s="27"/>
      <c r="F2293" s="27"/>
    </row>
    <row r="2294">
      <c r="A2294" s="28"/>
      <c r="B2294" s="1"/>
      <c r="C2294" s="29"/>
      <c r="D2294" s="27"/>
      <c r="E2294" s="27"/>
      <c r="F2294" s="27"/>
    </row>
    <row r="2295">
      <c r="A2295" s="28"/>
      <c r="B2295" s="1"/>
      <c r="C2295" s="29"/>
      <c r="D2295" s="27"/>
      <c r="E2295" s="27"/>
      <c r="F2295" s="27"/>
    </row>
    <row r="2296">
      <c r="A2296" s="28"/>
      <c r="B2296" s="1"/>
      <c r="C2296" s="29"/>
      <c r="D2296" s="27"/>
      <c r="E2296" s="27"/>
      <c r="F2296" s="27"/>
    </row>
    <row r="2297">
      <c r="A2297" s="28"/>
      <c r="B2297" s="1"/>
      <c r="C2297" s="29"/>
      <c r="D2297" s="27"/>
      <c r="E2297" s="27"/>
      <c r="F2297" s="27"/>
    </row>
    <row r="2298">
      <c r="A2298" s="28"/>
      <c r="B2298" s="1"/>
      <c r="C2298" s="29"/>
      <c r="D2298" s="27"/>
      <c r="E2298" s="27"/>
      <c r="F2298" s="27"/>
    </row>
    <row r="2299">
      <c r="A2299" s="28"/>
      <c r="B2299" s="1"/>
      <c r="C2299" s="29"/>
      <c r="D2299" s="27"/>
      <c r="E2299" s="27"/>
      <c r="F2299" s="27"/>
    </row>
    <row r="2300">
      <c r="A2300" s="28"/>
      <c r="B2300" s="1"/>
      <c r="C2300" s="29"/>
      <c r="D2300" s="27"/>
      <c r="E2300" s="27"/>
      <c r="F2300" s="27"/>
    </row>
    <row r="2301">
      <c r="A2301" s="28"/>
      <c r="B2301" s="1"/>
      <c r="C2301" s="29"/>
      <c r="D2301" s="27"/>
      <c r="E2301" s="27"/>
      <c r="F2301" s="27"/>
    </row>
    <row r="2302">
      <c r="A2302" s="28"/>
      <c r="B2302" s="1"/>
      <c r="C2302" s="29"/>
      <c r="D2302" s="27"/>
      <c r="E2302" s="27"/>
      <c r="F2302" s="27"/>
    </row>
    <row r="2303">
      <c r="A2303" s="28"/>
      <c r="B2303" s="1"/>
      <c r="C2303" s="29"/>
      <c r="D2303" s="27"/>
      <c r="E2303" s="27"/>
      <c r="F2303" s="27"/>
    </row>
    <row r="2304">
      <c r="A2304" s="28"/>
      <c r="B2304" s="1"/>
      <c r="C2304" s="29"/>
      <c r="D2304" s="27"/>
      <c r="E2304" s="27"/>
      <c r="F2304" s="27"/>
    </row>
    <row r="2305">
      <c r="A2305" s="28"/>
      <c r="B2305" s="1"/>
      <c r="C2305" s="29"/>
      <c r="D2305" s="27"/>
      <c r="E2305" s="27"/>
      <c r="F2305" s="27"/>
    </row>
    <row r="2306">
      <c r="A2306" s="28"/>
      <c r="B2306" s="1"/>
      <c r="C2306" s="29"/>
      <c r="D2306" s="27"/>
      <c r="E2306" s="27"/>
      <c r="F2306" s="27"/>
    </row>
    <row r="2307">
      <c r="A2307" s="28"/>
      <c r="B2307" s="1"/>
      <c r="C2307" s="29"/>
      <c r="D2307" s="27"/>
      <c r="E2307" s="27"/>
      <c r="F2307" s="27"/>
    </row>
    <row r="2308">
      <c r="A2308" s="28"/>
      <c r="B2308" s="1"/>
      <c r="C2308" s="29"/>
      <c r="D2308" s="27"/>
      <c r="E2308" s="27"/>
      <c r="F2308" s="27"/>
    </row>
    <row r="2309">
      <c r="A2309" s="28"/>
      <c r="B2309" s="1"/>
      <c r="C2309" s="29"/>
      <c r="D2309" s="27"/>
      <c r="E2309" s="27"/>
      <c r="F2309" s="27"/>
    </row>
    <row r="2310">
      <c r="A2310" s="28"/>
      <c r="B2310" s="1"/>
      <c r="C2310" s="29"/>
      <c r="D2310" s="27"/>
      <c r="E2310" s="27"/>
      <c r="F2310" s="27"/>
    </row>
    <row r="2311">
      <c r="A2311" s="28"/>
      <c r="B2311" s="1"/>
      <c r="C2311" s="29"/>
      <c r="D2311" s="27"/>
      <c r="E2311" s="27"/>
      <c r="F2311" s="27"/>
    </row>
    <row r="2312">
      <c r="A2312" s="28"/>
      <c r="B2312" s="1"/>
      <c r="C2312" s="29"/>
      <c r="D2312" s="27"/>
      <c r="E2312" s="27"/>
      <c r="F2312" s="27"/>
    </row>
    <row r="2313">
      <c r="A2313" s="28"/>
      <c r="B2313" s="1"/>
      <c r="C2313" s="29"/>
      <c r="D2313" s="27"/>
      <c r="E2313" s="27"/>
      <c r="F2313" s="27"/>
    </row>
    <row r="2314">
      <c r="A2314" s="28"/>
      <c r="B2314" s="1"/>
      <c r="C2314" s="29"/>
      <c r="D2314" s="27"/>
      <c r="E2314" s="27"/>
      <c r="F2314" s="27"/>
    </row>
    <row r="2315">
      <c r="A2315" s="28"/>
      <c r="B2315" s="1"/>
      <c r="C2315" s="29"/>
      <c r="D2315" s="27"/>
      <c r="E2315" s="27"/>
      <c r="F2315" s="27"/>
    </row>
    <row r="2316">
      <c r="A2316" s="28"/>
      <c r="B2316" s="1"/>
      <c r="C2316" s="29"/>
      <c r="D2316" s="27"/>
      <c r="E2316" s="27"/>
      <c r="F2316" s="27"/>
    </row>
    <row r="2317">
      <c r="A2317" s="28"/>
      <c r="B2317" s="1"/>
      <c r="C2317" s="29"/>
      <c r="D2317" s="27"/>
      <c r="E2317" s="27"/>
      <c r="F2317" s="27"/>
    </row>
    <row r="2318">
      <c r="A2318" s="28"/>
      <c r="B2318" s="1"/>
      <c r="C2318" s="29"/>
      <c r="D2318" s="27"/>
      <c r="E2318" s="27"/>
      <c r="F2318" s="27"/>
    </row>
    <row r="2319">
      <c r="A2319" s="28"/>
      <c r="B2319" s="1"/>
      <c r="C2319" s="29"/>
      <c r="D2319" s="27"/>
      <c r="E2319" s="27"/>
      <c r="F2319" s="27"/>
    </row>
    <row r="2320">
      <c r="A2320" s="28"/>
      <c r="B2320" s="1"/>
      <c r="C2320" s="29"/>
      <c r="D2320" s="27"/>
      <c r="E2320" s="27"/>
      <c r="F2320" s="27"/>
    </row>
    <row r="2321">
      <c r="A2321" s="28"/>
      <c r="B2321" s="1"/>
      <c r="C2321" s="29"/>
      <c r="D2321" s="27"/>
      <c r="E2321" s="27"/>
      <c r="F2321" s="27"/>
    </row>
    <row r="2322">
      <c r="A2322" s="28"/>
      <c r="B2322" s="1"/>
      <c r="C2322" s="29"/>
      <c r="D2322" s="27"/>
      <c r="E2322" s="27"/>
      <c r="F2322" s="27"/>
    </row>
    <row r="2323">
      <c r="A2323" s="28"/>
      <c r="B2323" s="1"/>
      <c r="C2323" s="29"/>
      <c r="D2323" s="27"/>
      <c r="E2323" s="27"/>
      <c r="F2323" s="27"/>
    </row>
    <row r="2324">
      <c r="A2324" s="28"/>
      <c r="B2324" s="1"/>
      <c r="C2324" s="29"/>
      <c r="D2324" s="27"/>
      <c r="E2324" s="27"/>
      <c r="F2324" s="27"/>
    </row>
    <row r="2325">
      <c r="A2325" s="28"/>
      <c r="B2325" s="1"/>
      <c r="C2325" s="29"/>
      <c r="D2325" s="27"/>
      <c r="E2325" s="27"/>
      <c r="F2325" s="27"/>
    </row>
    <row r="2326">
      <c r="A2326" s="28"/>
      <c r="B2326" s="1"/>
      <c r="C2326" s="29"/>
      <c r="D2326" s="27"/>
      <c r="E2326" s="27"/>
      <c r="F2326" s="27"/>
    </row>
    <row r="2327">
      <c r="A2327" s="28"/>
      <c r="B2327" s="1"/>
      <c r="C2327" s="29"/>
      <c r="D2327" s="27"/>
      <c r="E2327" s="27"/>
      <c r="F2327" s="27"/>
    </row>
    <row r="2328">
      <c r="A2328" s="28"/>
      <c r="B2328" s="1"/>
      <c r="C2328" s="29"/>
      <c r="D2328" s="27"/>
      <c r="E2328" s="27"/>
      <c r="F2328" s="27"/>
    </row>
    <row r="2329">
      <c r="A2329" s="28"/>
      <c r="B2329" s="1"/>
      <c r="C2329" s="29"/>
      <c r="D2329" s="27"/>
      <c r="E2329" s="27"/>
      <c r="F2329" s="27"/>
    </row>
    <row r="2330">
      <c r="A2330" s="28"/>
      <c r="B2330" s="1"/>
      <c r="C2330" s="29"/>
      <c r="D2330" s="27"/>
      <c r="E2330" s="27"/>
      <c r="F2330" s="27"/>
    </row>
    <row r="2331">
      <c r="A2331" s="28"/>
      <c r="B2331" s="1"/>
      <c r="C2331" s="29"/>
      <c r="D2331" s="27"/>
      <c r="E2331" s="27"/>
      <c r="F2331" s="27"/>
    </row>
    <row r="2332">
      <c r="A2332" s="28"/>
      <c r="B2332" s="1"/>
      <c r="C2332" s="29"/>
      <c r="D2332" s="27"/>
      <c r="E2332" s="27"/>
      <c r="F2332" s="27"/>
    </row>
    <row r="2333">
      <c r="A2333" s="28"/>
      <c r="B2333" s="1"/>
      <c r="C2333" s="29"/>
      <c r="D2333" s="27"/>
      <c r="E2333" s="27"/>
      <c r="F2333" s="27"/>
    </row>
    <row r="2334">
      <c r="A2334" s="28"/>
      <c r="B2334" s="1"/>
      <c r="C2334" s="29"/>
      <c r="D2334" s="27"/>
      <c r="E2334" s="27"/>
      <c r="F2334" s="27"/>
    </row>
    <row r="2335">
      <c r="A2335" s="28"/>
      <c r="B2335" s="1"/>
      <c r="C2335" s="29"/>
      <c r="D2335" s="27"/>
      <c r="E2335" s="27"/>
      <c r="F2335" s="27"/>
    </row>
    <row r="2336">
      <c r="A2336" s="28"/>
      <c r="B2336" s="1"/>
      <c r="C2336" s="29"/>
      <c r="D2336" s="27"/>
      <c r="E2336" s="27"/>
      <c r="F2336" s="27"/>
    </row>
    <row r="2337">
      <c r="A2337" s="28"/>
      <c r="B2337" s="1"/>
      <c r="C2337" s="29"/>
      <c r="D2337" s="27"/>
      <c r="E2337" s="27"/>
      <c r="F2337" s="27"/>
    </row>
    <row r="2338">
      <c r="A2338" s="28"/>
      <c r="B2338" s="1"/>
      <c r="C2338" s="29"/>
      <c r="D2338" s="27"/>
      <c r="E2338" s="27"/>
      <c r="F2338" s="27"/>
    </row>
    <row r="2339">
      <c r="A2339" s="28"/>
      <c r="B2339" s="1"/>
      <c r="C2339" s="29"/>
      <c r="D2339" s="27"/>
      <c r="E2339" s="27"/>
      <c r="F2339" s="27"/>
    </row>
    <row r="2340">
      <c r="A2340" s="28"/>
      <c r="B2340" s="1"/>
      <c r="C2340" s="29"/>
      <c r="D2340" s="27"/>
      <c r="E2340" s="27"/>
      <c r="F2340" s="27"/>
    </row>
    <row r="2341">
      <c r="A2341" s="28"/>
      <c r="B2341" s="1"/>
      <c r="C2341" s="29"/>
      <c r="D2341" s="27"/>
      <c r="E2341" s="27"/>
      <c r="F2341" s="27"/>
    </row>
    <row r="2342">
      <c r="A2342" s="28"/>
      <c r="B2342" s="1"/>
      <c r="C2342" s="29"/>
      <c r="D2342" s="27"/>
      <c r="E2342" s="27"/>
      <c r="F2342" s="27"/>
    </row>
    <row r="2343">
      <c r="A2343" s="28"/>
      <c r="B2343" s="1"/>
      <c r="C2343" s="29"/>
      <c r="D2343" s="27"/>
      <c r="E2343" s="27"/>
      <c r="F2343" s="27"/>
    </row>
    <row r="2344">
      <c r="A2344" s="28"/>
      <c r="B2344" s="1"/>
      <c r="C2344" s="29"/>
      <c r="D2344" s="27"/>
      <c r="E2344" s="27"/>
      <c r="F2344" s="27"/>
    </row>
    <row r="2345">
      <c r="A2345" s="28"/>
      <c r="B2345" s="1"/>
      <c r="C2345" s="29"/>
      <c r="D2345" s="27"/>
      <c r="E2345" s="27"/>
      <c r="F2345" s="27"/>
    </row>
    <row r="2346">
      <c r="A2346" s="28"/>
      <c r="B2346" s="1"/>
      <c r="C2346" s="29"/>
      <c r="D2346" s="27"/>
      <c r="E2346" s="27"/>
      <c r="F2346" s="27"/>
    </row>
    <row r="2347">
      <c r="A2347" s="28"/>
      <c r="B2347" s="1"/>
      <c r="C2347" s="29"/>
      <c r="D2347" s="27"/>
      <c r="E2347" s="27"/>
      <c r="F2347" s="27"/>
    </row>
    <row r="2348">
      <c r="A2348" s="28"/>
      <c r="B2348" s="1"/>
      <c r="C2348" s="29"/>
      <c r="D2348" s="27"/>
      <c r="E2348" s="27"/>
      <c r="F2348" s="27"/>
    </row>
    <row r="2349">
      <c r="A2349" s="28"/>
      <c r="B2349" s="1"/>
      <c r="C2349" s="29"/>
      <c r="D2349" s="27"/>
      <c r="E2349" s="27"/>
      <c r="F2349" s="27"/>
    </row>
    <row r="2350">
      <c r="A2350" s="28"/>
      <c r="B2350" s="1"/>
      <c r="C2350" s="29"/>
      <c r="D2350" s="27"/>
      <c r="E2350" s="27"/>
      <c r="F2350" s="27"/>
    </row>
    <row r="2351">
      <c r="A2351" s="28"/>
      <c r="B2351" s="1"/>
      <c r="C2351" s="29"/>
      <c r="D2351" s="27"/>
      <c r="E2351" s="27"/>
      <c r="F2351" s="27"/>
    </row>
    <row r="2352">
      <c r="A2352" s="28"/>
      <c r="B2352" s="1"/>
      <c r="C2352" s="29"/>
      <c r="D2352" s="27"/>
      <c r="E2352" s="27"/>
      <c r="F2352" s="27"/>
    </row>
    <row r="2353">
      <c r="A2353" s="28"/>
      <c r="B2353" s="1"/>
      <c r="C2353" s="29"/>
      <c r="D2353" s="27"/>
      <c r="E2353" s="27"/>
      <c r="F2353" s="27"/>
    </row>
    <row r="2354">
      <c r="A2354" s="28"/>
      <c r="B2354" s="1"/>
      <c r="C2354" s="29"/>
      <c r="D2354" s="27"/>
      <c r="E2354" s="27"/>
      <c r="F2354" s="27"/>
    </row>
    <row r="2355">
      <c r="A2355" s="28"/>
      <c r="B2355" s="1"/>
      <c r="C2355" s="29"/>
      <c r="D2355" s="27"/>
      <c r="E2355" s="27"/>
      <c r="F2355" s="27"/>
    </row>
    <row r="2356">
      <c r="A2356" s="28"/>
      <c r="B2356" s="1"/>
      <c r="C2356" s="29"/>
      <c r="D2356" s="27"/>
      <c r="E2356" s="27"/>
      <c r="F2356" s="27"/>
    </row>
    <row r="2357">
      <c r="A2357" s="28"/>
      <c r="B2357" s="1"/>
      <c r="C2357" s="29"/>
      <c r="D2357" s="27"/>
      <c r="E2357" s="27"/>
      <c r="F2357" s="27"/>
    </row>
    <row r="2358">
      <c r="A2358" s="28"/>
      <c r="B2358" s="1"/>
      <c r="C2358" s="29"/>
      <c r="D2358" s="27"/>
      <c r="E2358" s="27"/>
      <c r="F2358" s="27"/>
    </row>
    <row r="2359">
      <c r="A2359" s="28"/>
      <c r="B2359" s="1"/>
      <c r="C2359" s="29"/>
      <c r="D2359" s="27"/>
      <c r="E2359" s="27"/>
      <c r="F2359" s="27"/>
    </row>
    <row r="2360">
      <c r="A2360" s="28"/>
      <c r="B2360" s="1"/>
      <c r="C2360" s="29"/>
      <c r="D2360" s="27"/>
      <c r="E2360" s="27"/>
      <c r="F2360" s="27"/>
    </row>
    <row r="2361">
      <c r="A2361" s="28"/>
      <c r="B2361" s="1"/>
      <c r="C2361" s="29"/>
      <c r="D2361" s="27"/>
      <c r="E2361" s="27"/>
      <c r="F2361" s="27"/>
    </row>
    <row r="2362">
      <c r="A2362" s="28"/>
      <c r="B2362" s="1"/>
      <c r="C2362" s="29"/>
      <c r="D2362" s="27"/>
      <c r="E2362" s="27"/>
      <c r="F2362" s="27"/>
    </row>
    <row r="2363">
      <c r="A2363" s="28"/>
      <c r="B2363" s="1"/>
      <c r="C2363" s="29"/>
      <c r="D2363" s="27"/>
      <c r="E2363" s="27"/>
      <c r="F2363" s="27"/>
    </row>
    <row r="2364">
      <c r="A2364" s="28"/>
      <c r="B2364" s="1"/>
      <c r="C2364" s="29"/>
      <c r="D2364" s="27"/>
      <c r="E2364" s="27"/>
      <c r="F2364" s="27"/>
    </row>
    <row r="2365">
      <c r="A2365" s="28"/>
      <c r="B2365" s="1"/>
      <c r="C2365" s="29"/>
      <c r="D2365" s="27"/>
      <c r="E2365" s="27"/>
      <c r="F2365" s="27"/>
    </row>
    <row r="2366">
      <c r="A2366" s="28"/>
      <c r="B2366" s="1"/>
      <c r="C2366" s="29"/>
      <c r="D2366" s="27"/>
      <c r="E2366" s="27"/>
      <c r="F2366" s="27"/>
    </row>
    <row r="2367">
      <c r="A2367" s="28"/>
      <c r="B2367" s="1"/>
      <c r="C2367" s="29"/>
      <c r="D2367" s="27"/>
      <c r="E2367" s="27"/>
      <c r="F2367" s="27"/>
    </row>
    <row r="2368">
      <c r="A2368" s="28"/>
      <c r="B2368" s="1"/>
      <c r="C2368" s="29"/>
      <c r="D2368" s="27"/>
      <c r="E2368" s="27"/>
      <c r="F2368" s="27"/>
    </row>
    <row r="2369">
      <c r="A2369" s="28"/>
      <c r="B2369" s="1"/>
      <c r="C2369" s="29"/>
      <c r="D2369" s="27"/>
      <c r="E2369" s="27"/>
      <c r="F2369" s="27"/>
    </row>
    <row r="2370">
      <c r="A2370" s="28"/>
      <c r="B2370" s="1"/>
      <c r="C2370" s="29"/>
      <c r="D2370" s="27"/>
      <c r="E2370" s="27"/>
      <c r="F2370" s="27"/>
    </row>
    <row r="2371">
      <c r="A2371" s="28"/>
      <c r="B2371" s="1"/>
      <c r="C2371" s="29"/>
      <c r="D2371" s="27"/>
      <c r="E2371" s="27"/>
      <c r="F2371" s="27"/>
    </row>
    <row r="2372">
      <c r="A2372" s="28"/>
      <c r="B2372" s="1"/>
      <c r="C2372" s="29"/>
      <c r="D2372" s="27"/>
      <c r="E2372" s="27"/>
      <c r="F2372" s="27"/>
    </row>
    <row r="2373">
      <c r="A2373" s="28"/>
      <c r="B2373" s="1"/>
      <c r="C2373" s="29"/>
      <c r="D2373" s="27"/>
      <c r="E2373" s="27"/>
      <c r="F2373" s="27"/>
    </row>
    <row r="2374">
      <c r="A2374" s="28"/>
      <c r="B2374" s="1"/>
      <c r="C2374" s="29"/>
      <c r="D2374" s="27"/>
      <c r="E2374" s="27"/>
      <c r="F2374" s="27"/>
    </row>
    <row r="2375">
      <c r="A2375" s="28"/>
      <c r="B2375" s="1"/>
      <c r="C2375" s="29"/>
      <c r="D2375" s="27"/>
      <c r="E2375" s="27"/>
      <c r="F2375" s="27"/>
    </row>
    <row r="2376">
      <c r="A2376" s="28"/>
      <c r="B2376" s="1"/>
      <c r="C2376" s="29"/>
      <c r="D2376" s="27"/>
      <c r="E2376" s="27"/>
      <c r="F2376" s="27"/>
    </row>
    <row r="2377">
      <c r="A2377" s="28"/>
      <c r="B2377" s="1"/>
      <c r="C2377" s="29"/>
      <c r="D2377" s="27"/>
      <c r="E2377" s="27"/>
      <c r="F2377" s="27"/>
    </row>
    <row r="2378">
      <c r="A2378" s="28"/>
      <c r="B2378" s="1"/>
      <c r="C2378" s="29"/>
      <c r="D2378" s="27"/>
      <c r="E2378" s="27"/>
      <c r="F2378" s="27"/>
    </row>
    <row r="2379">
      <c r="A2379" s="28"/>
      <c r="B2379" s="1"/>
      <c r="C2379" s="29"/>
      <c r="D2379" s="27"/>
      <c r="E2379" s="27"/>
      <c r="F2379" s="27"/>
    </row>
    <row r="2380">
      <c r="A2380" s="28"/>
      <c r="B2380" s="1"/>
      <c r="C2380" s="29"/>
      <c r="D2380" s="27"/>
      <c r="E2380" s="27"/>
      <c r="F2380" s="27"/>
    </row>
    <row r="2381">
      <c r="A2381" s="28"/>
      <c r="B2381" s="1"/>
      <c r="C2381" s="29"/>
      <c r="D2381" s="27"/>
      <c r="E2381" s="27"/>
      <c r="F2381" s="27"/>
    </row>
    <row r="2382">
      <c r="A2382" s="28"/>
      <c r="B2382" s="1"/>
      <c r="C2382" s="29"/>
      <c r="D2382" s="27"/>
      <c r="E2382" s="27"/>
      <c r="F2382" s="27"/>
    </row>
    <row r="2383">
      <c r="A2383" s="28"/>
      <c r="B2383" s="1"/>
      <c r="C2383" s="29"/>
      <c r="D2383" s="27"/>
      <c r="E2383" s="27"/>
      <c r="F2383" s="27"/>
    </row>
    <row r="2384">
      <c r="A2384" s="28"/>
      <c r="B2384" s="1"/>
      <c r="C2384" s="29"/>
      <c r="D2384" s="27"/>
      <c r="E2384" s="27"/>
      <c r="F2384" s="27"/>
    </row>
    <row r="2385">
      <c r="A2385" s="28"/>
      <c r="B2385" s="1"/>
      <c r="C2385" s="29"/>
      <c r="D2385" s="27"/>
      <c r="E2385" s="27"/>
      <c r="F2385" s="27"/>
    </row>
    <row r="2386">
      <c r="A2386" s="28"/>
      <c r="B2386" s="1"/>
      <c r="C2386" s="29"/>
      <c r="D2386" s="27"/>
      <c r="E2386" s="27"/>
      <c r="F2386" s="27"/>
    </row>
    <row r="2387">
      <c r="A2387" s="28"/>
      <c r="B2387" s="1"/>
      <c r="C2387" s="29"/>
      <c r="D2387" s="27"/>
      <c r="E2387" s="27"/>
      <c r="F2387" s="27"/>
    </row>
    <row r="2388">
      <c r="A2388" s="28"/>
      <c r="B2388" s="1"/>
      <c r="C2388" s="29"/>
      <c r="D2388" s="27"/>
      <c r="E2388" s="27"/>
      <c r="F2388" s="27"/>
    </row>
    <row r="2389">
      <c r="A2389" s="28"/>
      <c r="B2389" s="1"/>
      <c r="C2389" s="29"/>
      <c r="D2389" s="27"/>
      <c r="E2389" s="27"/>
      <c r="F2389" s="27"/>
    </row>
    <row r="2390">
      <c r="A2390" s="28"/>
      <c r="B2390" s="1"/>
      <c r="C2390" s="29"/>
      <c r="D2390" s="27"/>
      <c r="E2390" s="27"/>
      <c r="F2390" s="27"/>
    </row>
    <row r="2391">
      <c r="A2391" s="28"/>
      <c r="B2391" s="1"/>
      <c r="C2391" s="29"/>
      <c r="D2391" s="27"/>
      <c r="E2391" s="27"/>
      <c r="F2391" s="27"/>
    </row>
    <row r="2392">
      <c r="A2392" s="28"/>
      <c r="B2392" s="1"/>
      <c r="C2392" s="29"/>
      <c r="D2392" s="27"/>
      <c r="E2392" s="27"/>
      <c r="F2392" s="27"/>
    </row>
    <row r="2393">
      <c r="A2393" s="28"/>
      <c r="B2393" s="1"/>
      <c r="C2393" s="29"/>
      <c r="D2393" s="27"/>
      <c r="E2393" s="27"/>
      <c r="F2393" s="27"/>
    </row>
    <row r="2394">
      <c r="A2394" s="28"/>
      <c r="B2394" s="1"/>
      <c r="C2394" s="29"/>
      <c r="D2394" s="27"/>
      <c r="E2394" s="27"/>
      <c r="F2394" s="27"/>
    </row>
    <row r="2395">
      <c r="A2395" s="28"/>
      <c r="B2395" s="1"/>
      <c r="C2395" s="29"/>
      <c r="D2395" s="27"/>
      <c r="E2395" s="27"/>
      <c r="F2395" s="27"/>
    </row>
    <row r="2396">
      <c r="A2396" s="28"/>
      <c r="B2396" s="1"/>
      <c r="C2396" s="29"/>
      <c r="D2396" s="27"/>
      <c r="E2396" s="27"/>
      <c r="F2396" s="27"/>
    </row>
    <row r="2397">
      <c r="A2397" s="28"/>
      <c r="B2397" s="1"/>
      <c r="C2397" s="29"/>
      <c r="D2397" s="27"/>
      <c r="E2397" s="27"/>
      <c r="F2397" s="27"/>
    </row>
    <row r="2398">
      <c r="A2398" s="28"/>
      <c r="B2398" s="1"/>
      <c r="C2398" s="29"/>
      <c r="D2398" s="27"/>
      <c r="E2398" s="27"/>
      <c r="F2398" s="27"/>
    </row>
    <row r="2399">
      <c r="A2399" s="28"/>
      <c r="B2399" s="1"/>
      <c r="C2399" s="29"/>
      <c r="D2399" s="27"/>
      <c r="E2399" s="27"/>
      <c r="F2399" s="27"/>
    </row>
    <row r="2400">
      <c r="A2400" s="28"/>
      <c r="B2400" s="1"/>
      <c r="C2400" s="29"/>
      <c r="D2400" s="27"/>
      <c r="E2400" s="27"/>
      <c r="F2400" s="27"/>
    </row>
    <row r="2401">
      <c r="A2401" s="28"/>
      <c r="B2401" s="1"/>
      <c r="C2401" s="29"/>
      <c r="D2401" s="27"/>
      <c r="E2401" s="27"/>
      <c r="F2401" s="27"/>
    </row>
    <row r="2402">
      <c r="A2402" s="28"/>
      <c r="B2402" s="1"/>
      <c r="C2402" s="29"/>
      <c r="D2402" s="27"/>
      <c r="E2402" s="27"/>
      <c r="F2402" s="27"/>
    </row>
    <row r="2403">
      <c r="A2403" s="28"/>
      <c r="B2403" s="1"/>
      <c r="C2403" s="29"/>
      <c r="D2403" s="27"/>
      <c r="E2403" s="27"/>
      <c r="F2403" s="27"/>
    </row>
    <row r="2404">
      <c r="A2404" s="28"/>
      <c r="B2404" s="1"/>
      <c r="C2404" s="29"/>
      <c r="D2404" s="27"/>
      <c r="E2404" s="27"/>
      <c r="F2404" s="27"/>
    </row>
    <row r="2405">
      <c r="A2405" s="28"/>
      <c r="B2405" s="1"/>
      <c r="C2405" s="29"/>
      <c r="D2405" s="27"/>
      <c r="E2405" s="27"/>
      <c r="F2405" s="27"/>
    </row>
    <row r="2406">
      <c r="A2406" s="28"/>
      <c r="B2406" s="1"/>
      <c r="C2406" s="29"/>
      <c r="D2406" s="27"/>
      <c r="E2406" s="27"/>
      <c r="F2406" s="27"/>
    </row>
    <row r="2407">
      <c r="A2407" s="28"/>
      <c r="B2407" s="1"/>
      <c r="C2407" s="29"/>
      <c r="D2407" s="27"/>
      <c r="E2407" s="27"/>
      <c r="F2407" s="27"/>
    </row>
    <row r="2408">
      <c r="A2408" s="28"/>
      <c r="B2408" s="1"/>
      <c r="C2408" s="29"/>
      <c r="D2408" s="27"/>
      <c r="E2408" s="27"/>
      <c r="F2408" s="27"/>
    </row>
    <row r="2409">
      <c r="A2409" s="28"/>
      <c r="B2409" s="1"/>
      <c r="C2409" s="29"/>
      <c r="D2409" s="27"/>
      <c r="E2409" s="27"/>
      <c r="F2409" s="27"/>
    </row>
    <row r="2410">
      <c r="A2410" s="28"/>
      <c r="B2410" s="1"/>
      <c r="C2410" s="29"/>
      <c r="D2410" s="27"/>
      <c r="E2410" s="27"/>
      <c r="F2410" s="27"/>
    </row>
    <row r="2411">
      <c r="A2411" s="28"/>
      <c r="B2411" s="1"/>
      <c r="C2411" s="29"/>
      <c r="D2411" s="27"/>
      <c r="E2411" s="27"/>
      <c r="F2411" s="27"/>
    </row>
    <row r="2412">
      <c r="A2412" s="28"/>
      <c r="B2412" s="1"/>
      <c r="C2412" s="29"/>
      <c r="D2412" s="27"/>
      <c r="E2412" s="27"/>
      <c r="F2412" s="27"/>
    </row>
    <row r="2413">
      <c r="A2413" s="28"/>
      <c r="B2413" s="1"/>
      <c r="C2413" s="29"/>
      <c r="D2413" s="27"/>
      <c r="E2413" s="27"/>
      <c r="F2413" s="27"/>
    </row>
    <row r="2414">
      <c r="A2414" s="28"/>
      <c r="B2414" s="1"/>
      <c r="C2414" s="29"/>
      <c r="D2414" s="27"/>
      <c r="E2414" s="27"/>
      <c r="F2414" s="27"/>
    </row>
    <row r="2415">
      <c r="A2415" s="28"/>
      <c r="B2415" s="1"/>
      <c r="C2415" s="29"/>
      <c r="D2415" s="27"/>
      <c r="E2415" s="27"/>
      <c r="F2415" s="27"/>
    </row>
    <row r="2416">
      <c r="A2416" s="28"/>
      <c r="B2416" s="1"/>
      <c r="C2416" s="29"/>
      <c r="D2416" s="27"/>
      <c r="E2416" s="27"/>
      <c r="F2416" s="27"/>
    </row>
    <row r="2417">
      <c r="A2417" s="28"/>
      <c r="B2417" s="1"/>
      <c r="C2417" s="29"/>
      <c r="D2417" s="27"/>
      <c r="E2417" s="27"/>
      <c r="F2417" s="27"/>
    </row>
    <row r="2418">
      <c r="A2418" s="28"/>
      <c r="B2418" s="1"/>
      <c r="C2418" s="29"/>
      <c r="D2418" s="27"/>
      <c r="E2418" s="27"/>
      <c r="F2418" s="27"/>
    </row>
    <row r="2419">
      <c r="A2419" s="28"/>
      <c r="B2419" s="1"/>
      <c r="C2419" s="29"/>
      <c r="D2419" s="27"/>
      <c r="E2419" s="27"/>
      <c r="F2419" s="27"/>
    </row>
    <row r="2420">
      <c r="A2420" s="28"/>
      <c r="B2420" s="1"/>
      <c r="C2420" s="29"/>
      <c r="D2420" s="27"/>
      <c r="E2420" s="27"/>
      <c r="F2420" s="27"/>
    </row>
    <row r="2421">
      <c r="A2421" s="28"/>
      <c r="B2421" s="1"/>
      <c r="C2421" s="29"/>
      <c r="D2421" s="27"/>
      <c r="E2421" s="27"/>
      <c r="F2421" s="27"/>
    </row>
    <row r="2422">
      <c r="A2422" s="28"/>
      <c r="B2422" s="1"/>
      <c r="C2422" s="29"/>
      <c r="D2422" s="27"/>
      <c r="E2422" s="27"/>
      <c r="F2422" s="27"/>
    </row>
    <row r="2423">
      <c r="A2423" s="28"/>
      <c r="B2423" s="1"/>
      <c r="C2423" s="29"/>
      <c r="D2423" s="27"/>
      <c r="E2423" s="27"/>
      <c r="F2423" s="27"/>
    </row>
    <row r="2424">
      <c r="A2424" s="28"/>
      <c r="B2424" s="1"/>
      <c r="C2424" s="29"/>
      <c r="D2424" s="27"/>
      <c r="E2424" s="27"/>
      <c r="F2424" s="27"/>
    </row>
    <row r="2425">
      <c r="A2425" s="28"/>
      <c r="B2425" s="1"/>
      <c r="C2425" s="29"/>
      <c r="D2425" s="27"/>
      <c r="E2425" s="27"/>
      <c r="F2425" s="27"/>
    </row>
    <row r="2426">
      <c r="A2426" s="28"/>
      <c r="B2426" s="1"/>
      <c r="C2426" s="29"/>
      <c r="D2426" s="27"/>
      <c r="E2426" s="27"/>
      <c r="F2426" s="27"/>
    </row>
    <row r="2427">
      <c r="A2427" s="28"/>
      <c r="B2427" s="1"/>
      <c r="C2427" s="29"/>
      <c r="D2427" s="27"/>
      <c r="E2427" s="27"/>
      <c r="F2427" s="27"/>
    </row>
    <row r="2428">
      <c r="A2428" s="28"/>
      <c r="B2428" s="1"/>
      <c r="C2428" s="29"/>
      <c r="D2428" s="27"/>
      <c r="E2428" s="27"/>
      <c r="F2428" s="27"/>
    </row>
    <row r="2429">
      <c r="A2429" s="28"/>
      <c r="B2429" s="1"/>
      <c r="C2429" s="29"/>
      <c r="D2429" s="27"/>
      <c r="E2429" s="27"/>
      <c r="F2429" s="27"/>
    </row>
    <row r="2430">
      <c r="A2430" s="28"/>
      <c r="B2430" s="1"/>
      <c r="C2430" s="29"/>
      <c r="D2430" s="27"/>
      <c r="E2430" s="27"/>
      <c r="F2430" s="27"/>
    </row>
    <row r="2431">
      <c r="A2431" s="28"/>
      <c r="B2431" s="1"/>
      <c r="C2431" s="29"/>
      <c r="D2431" s="27"/>
      <c r="E2431" s="27"/>
      <c r="F2431" s="27"/>
    </row>
    <row r="2432">
      <c r="A2432" s="28"/>
      <c r="B2432" s="1"/>
      <c r="C2432" s="29"/>
      <c r="D2432" s="27"/>
      <c r="E2432" s="27"/>
      <c r="F2432" s="27"/>
    </row>
    <row r="2433">
      <c r="A2433" s="28"/>
      <c r="B2433" s="1"/>
      <c r="C2433" s="29"/>
      <c r="D2433" s="27"/>
      <c r="E2433" s="27"/>
      <c r="F2433" s="27"/>
    </row>
    <row r="2434">
      <c r="A2434" s="28"/>
      <c r="B2434" s="1"/>
      <c r="C2434" s="29"/>
      <c r="D2434" s="27"/>
      <c r="E2434" s="27"/>
      <c r="F2434" s="27"/>
    </row>
    <row r="2435">
      <c r="A2435" s="28"/>
      <c r="B2435" s="1"/>
      <c r="C2435" s="29"/>
      <c r="D2435" s="27"/>
      <c r="E2435" s="27"/>
      <c r="F2435" s="27"/>
    </row>
    <row r="2436">
      <c r="A2436" s="28"/>
      <c r="B2436" s="1"/>
      <c r="C2436" s="29"/>
      <c r="D2436" s="27"/>
      <c r="E2436" s="27"/>
      <c r="F2436" s="27"/>
    </row>
    <row r="2437">
      <c r="A2437" s="28"/>
      <c r="B2437" s="1"/>
      <c r="C2437" s="29"/>
      <c r="D2437" s="27"/>
      <c r="E2437" s="27"/>
      <c r="F2437" s="27"/>
    </row>
    <row r="2438">
      <c r="A2438" s="28"/>
      <c r="B2438" s="1"/>
      <c r="C2438" s="29"/>
      <c r="D2438" s="27"/>
      <c r="E2438" s="27"/>
      <c r="F2438" s="27"/>
    </row>
    <row r="2439">
      <c r="A2439" s="28"/>
      <c r="B2439" s="1"/>
      <c r="C2439" s="29"/>
      <c r="D2439" s="27"/>
      <c r="E2439" s="27"/>
      <c r="F2439" s="27"/>
    </row>
    <row r="2440">
      <c r="A2440" s="28"/>
      <c r="B2440" s="1"/>
      <c r="C2440" s="29"/>
      <c r="D2440" s="27"/>
      <c r="E2440" s="27"/>
      <c r="F2440" s="27"/>
    </row>
    <row r="2441">
      <c r="A2441" s="28"/>
      <c r="B2441" s="1"/>
      <c r="C2441" s="29"/>
      <c r="D2441" s="27"/>
      <c r="E2441" s="27"/>
      <c r="F2441" s="27"/>
    </row>
    <row r="2442">
      <c r="A2442" s="28"/>
      <c r="B2442" s="1"/>
      <c r="C2442" s="29"/>
      <c r="D2442" s="27"/>
      <c r="E2442" s="27"/>
      <c r="F2442" s="27"/>
    </row>
    <row r="2443">
      <c r="A2443" s="28"/>
      <c r="B2443" s="1"/>
      <c r="C2443" s="29"/>
      <c r="D2443" s="27"/>
      <c r="E2443" s="27"/>
      <c r="F2443" s="27"/>
    </row>
    <row r="2444">
      <c r="A2444" s="28"/>
      <c r="B2444" s="1"/>
      <c r="C2444" s="29"/>
      <c r="D2444" s="27"/>
      <c r="E2444" s="27"/>
      <c r="F2444" s="27"/>
    </row>
    <row r="2445">
      <c r="A2445" s="28"/>
      <c r="B2445" s="1"/>
      <c r="C2445" s="29"/>
      <c r="D2445" s="27"/>
      <c r="E2445" s="27"/>
      <c r="F2445" s="27"/>
    </row>
    <row r="2446">
      <c r="A2446" s="28"/>
      <c r="B2446" s="1"/>
      <c r="C2446" s="29"/>
      <c r="D2446" s="27"/>
      <c r="E2446" s="27"/>
      <c r="F2446" s="27"/>
    </row>
    <row r="2447">
      <c r="A2447" s="28"/>
      <c r="B2447" s="1"/>
      <c r="C2447" s="29"/>
      <c r="D2447" s="27"/>
      <c r="E2447" s="27"/>
      <c r="F2447" s="27"/>
    </row>
    <row r="2448">
      <c r="A2448" s="28"/>
      <c r="B2448" s="1"/>
      <c r="C2448" s="29"/>
      <c r="D2448" s="27"/>
      <c r="E2448" s="27"/>
      <c r="F2448" s="27"/>
    </row>
    <row r="2449">
      <c r="A2449" s="28"/>
      <c r="B2449" s="1"/>
      <c r="C2449" s="29"/>
      <c r="D2449" s="27"/>
      <c r="E2449" s="27"/>
      <c r="F2449" s="27"/>
    </row>
    <row r="2450">
      <c r="A2450" s="28"/>
      <c r="B2450" s="1"/>
      <c r="C2450" s="29"/>
      <c r="D2450" s="27"/>
      <c r="E2450" s="27"/>
      <c r="F2450" s="27"/>
    </row>
    <row r="2451">
      <c r="A2451" s="28"/>
      <c r="B2451" s="1"/>
      <c r="C2451" s="29"/>
      <c r="D2451" s="27"/>
      <c r="E2451" s="27"/>
      <c r="F2451" s="27"/>
    </row>
    <row r="2452">
      <c r="A2452" s="28"/>
      <c r="B2452" s="1"/>
      <c r="C2452" s="29"/>
      <c r="D2452" s="27"/>
      <c r="E2452" s="27"/>
      <c r="F2452" s="27"/>
    </row>
    <row r="2453">
      <c r="A2453" s="28"/>
      <c r="B2453" s="1"/>
      <c r="C2453" s="29"/>
      <c r="D2453" s="27"/>
      <c r="E2453" s="27"/>
      <c r="F2453" s="27"/>
    </row>
    <row r="2454">
      <c r="A2454" s="28"/>
      <c r="B2454" s="1"/>
      <c r="C2454" s="29"/>
      <c r="D2454" s="27"/>
      <c r="E2454" s="27"/>
      <c r="F2454" s="27"/>
    </row>
    <row r="2455">
      <c r="A2455" s="28"/>
      <c r="B2455" s="1"/>
      <c r="C2455" s="29"/>
      <c r="D2455" s="27"/>
      <c r="E2455" s="27"/>
      <c r="F2455" s="27"/>
    </row>
    <row r="2456">
      <c r="A2456" s="28"/>
      <c r="B2456" s="1"/>
      <c r="C2456" s="29"/>
      <c r="D2456" s="27"/>
      <c r="E2456" s="27"/>
      <c r="F2456" s="27"/>
    </row>
    <row r="2457">
      <c r="A2457" s="28"/>
      <c r="B2457" s="1"/>
      <c r="C2457" s="29"/>
      <c r="D2457" s="27"/>
      <c r="E2457" s="27"/>
      <c r="F2457" s="27"/>
    </row>
    <row r="2458">
      <c r="A2458" s="28"/>
      <c r="B2458" s="1"/>
      <c r="C2458" s="29"/>
      <c r="D2458" s="27"/>
      <c r="E2458" s="27"/>
      <c r="F2458" s="27"/>
    </row>
    <row r="2459">
      <c r="A2459" s="28"/>
      <c r="B2459" s="1"/>
      <c r="C2459" s="29"/>
      <c r="D2459" s="27"/>
      <c r="E2459" s="27"/>
      <c r="F2459" s="27"/>
    </row>
    <row r="2460">
      <c r="A2460" s="28"/>
      <c r="B2460" s="1"/>
      <c r="C2460" s="29"/>
      <c r="D2460" s="27"/>
      <c r="E2460" s="27"/>
      <c r="F2460" s="27"/>
    </row>
    <row r="2461">
      <c r="A2461" s="28"/>
      <c r="B2461" s="1"/>
      <c r="C2461" s="29"/>
      <c r="D2461" s="27"/>
      <c r="E2461" s="27"/>
      <c r="F2461" s="27"/>
    </row>
    <row r="2462">
      <c r="A2462" s="28"/>
      <c r="B2462" s="1"/>
      <c r="C2462" s="29"/>
      <c r="D2462" s="27"/>
      <c r="E2462" s="27"/>
      <c r="F2462" s="27"/>
    </row>
    <row r="2463">
      <c r="A2463" s="28"/>
      <c r="B2463" s="1"/>
      <c r="C2463" s="29"/>
      <c r="D2463" s="27"/>
      <c r="E2463" s="27"/>
      <c r="F2463" s="27"/>
    </row>
    <row r="2464">
      <c r="A2464" s="28"/>
      <c r="B2464" s="1"/>
      <c r="C2464" s="29"/>
      <c r="D2464" s="27"/>
      <c r="E2464" s="27"/>
      <c r="F2464" s="27"/>
    </row>
    <row r="2465">
      <c r="A2465" s="28"/>
      <c r="B2465" s="1"/>
      <c r="C2465" s="29"/>
      <c r="D2465" s="27"/>
      <c r="E2465" s="27"/>
      <c r="F2465" s="27"/>
    </row>
    <row r="2466">
      <c r="A2466" s="28"/>
      <c r="B2466" s="1"/>
      <c r="C2466" s="29"/>
      <c r="D2466" s="27"/>
      <c r="E2466" s="27"/>
      <c r="F2466" s="27"/>
    </row>
    <row r="2467">
      <c r="A2467" s="28"/>
      <c r="B2467" s="1"/>
      <c r="C2467" s="29"/>
      <c r="D2467" s="27"/>
      <c r="E2467" s="27"/>
      <c r="F2467" s="27"/>
    </row>
    <row r="2468">
      <c r="A2468" s="28"/>
      <c r="B2468" s="1"/>
      <c r="C2468" s="29"/>
      <c r="D2468" s="27"/>
      <c r="E2468" s="27"/>
      <c r="F2468" s="27"/>
    </row>
    <row r="2469">
      <c r="A2469" s="28"/>
      <c r="B2469" s="1"/>
      <c r="C2469" s="29"/>
      <c r="D2469" s="27"/>
      <c r="E2469" s="27"/>
      <c r="F2469" s="27"/>
    </row>
    <row r="2470">
      <c r="A2470" s="28"/>
      <c r="B2470" s="1"/>
      <c r="C2470" s="29"/>
      <c r="D2470" s="27"/>
      <c r="E2470" s="27"/>
      <c r="F2470" s="27"/>
    </row>
    <row r="2471">
      <c r="A2471" s="28"/>
      <c r="B2471" s="1"/>
      <c r="C2471" s="29"/>
      <c r="D2471" s="27"/>
      <c r="E2471" s="27"/>
      <c r="F2471" s="27"/>
    </row>
    <row r="2472">
      <c r="A2472" s="28"/>
      <c r="B2472" s="1"/>
      <c r="C2472" s="29"/>
      <c r="D2472" s="27"/>
      <c r="E2472" s="27"/>
      <c r="F2472" s="27"/>
    </row>
    <row r="2473">
      <c r="A2473" s="28"/>
      <c r="B2473" s="1"/>
      <c r="C2473" s="29"/>
      <c r="D2473" s="27"/>
      <c r="E2473" s="27"/>
      <c r="F2473" s="27"/>
    </row>
    <row r="2474">
      <c r="A2474" s="28"/>
      <c r="B2474" s="1"/>
      <c r="C2474" s="29"/>
      <c r="D2474" s="27"/>
      <c r="E2474" s="27"/>
      <c r="F2474" s="27"/>
    </row>
    <row r="2475">
      <c r="A2475" s="28"/>
      <c r="B2475" s="1"/>
      <c r="C2475" s="29"/>
      <c r="D2475" s="27"/>
      <c r="E2475" s="27"/>
      <c r="F2475" s="27"/>
    </row>
    <row r="2476">
      <c r="A2476" s="28"/>
      <c r="B2476" s="1"/>
      <c r="C2476" s="29"/>
      <c r="D2476" s="27"/>
      <c r="E2476" s="27"/>
      <c r="F2476" s="27"/>
    </row>
    <row r="2477">
      <c r="A2477" s="28"/>
      <c r="B2477" s="1"/>
      <c r="C2477" s="29"/>
      <c r="D2477" s="27"/>
      <c r="E2477" s="27"/>
      <c r="F2477" s="27"/>
    </row>
    <row r="2478">
      <c r="A2478" s="28"/>
      <c r="B2478" s="1"/>
      <c r="C2478" s="29"/>
      <c r="D2478" s="27"/>
      <c r="E2478" s="27"/>
      <c r="F2478" s="27"/>
    </row>
    <row r="2479">
      <c r="A2479" s="28"/>
      <c r="B2479" s="1"/>
      <c r="C2479" s="29"/>
      <c r="D2479" s="27"/>
      <c r="E2479" s="27"/>
      <c r="F2479" s="27"/>
    </row>
    <row r="2480">
      <c r="A2480" s="28"/>
      <c r="B2480" s="1"/>
      <c r="C2480" s="29"/>
      <c r="D2480" s="27"/>
      <c r="E2480" s="27"/>
      <c r="F2480" s="27"/>
    </row>
    <row r="2481">
      <c r="A2481" s="28"/>
      <c r="B2481" s="1"/>
      <c r="C2481" s="29"/>
      <c r="D2481" s="27"/>
      <c r="E2481" s="27"/>
      <c r="F2481" s="27"/>
    </row>
    <row r="2482">
      <c r="A2482" s="28"/>
      <c r="B2482" s="1"/>
      <c r="C2482" s="29"/>
      <c r="D2482" s="27"/>
      <c r="E2482" s="27"/>
      <c r="F2482" s="27"/>
    </row>
    <row r="2483">
      <c r="A2483" s="28"/>
      <c r="B2483" s="1"/>
      <c r="C2483" s="29"/>
      <c r="D2483" s="27"/>
      <c r="E2483" s="27"/>
      <c r="F2483" s="27"/>
    </row>
    <row r="2484">
      <c r="A2484" s="28"/>
      <c r="B2484" s="1"/>
      <c r="C2484" s="29"/>
      <c r="D2484" s="27"/>
      <c r="E2484" s="27"/>
      <c r="F2484" s="27"/>
    </row>
    <row r="2485">
      <c r="A2485" s="28"/>
      <c r="B2485" s="1"/>
      <c r="C2485" s="29"/>
      <c r="D2485" s="27"/>
      <c r="E2485" s="27"/>
      <c r="F2485" s="27"/>
    </row>
    <row r="2486">
      <c r="A2486" s="28"/>
      <c r="B2486" s="1"/>
      <c r="C2486" s="29"/>
      <c r="D2486" s="27"/>
      <c r="E2486" s="27"/>
      <c r="F2486" s="27"/>
    </row>
    <row r="2487">
      <c r="A2487" s="28"/>
      <c r="B2487" s="1"/>
      <c r="C2487" s="29"/>
      <c r="D2487" s="27"/>
      <c r="E2487" s="27"/>
      <c r="F2487" s="27"/>
    </row>
    <row r="2488">
      <c r="A2488" s="28"/>
      <c r="B2488" s="1"/>
      <c r="C2488" s="29"/>
      <c r="D2488" s="27"/>
      <c r="E2488" s="27"/>
      <c r="F2488" s="27"/>
    </row>
    <row r="2489">
      <c r="A2489" s="28"/>
      <c r="B2489" s="1"/>
      <c r="C2489" s="29"/>
      <c r="D2489" s="27"/>
      <c r="E2489" s="27"/>
      <c r="F2489" s="27"/>
    </row>
    <row r="2490">
      <c r="A2490" s="28"/>
      <c r="B2490" s="1"/>
      <c r="C2490" s="29"/>
      <c r="D2490" s="27"/>
      <c r="E2490" s="27"/>
      <c r="F2490" s="27"/>
    </row>
    <row r="2491">
      <c r="A2491" s="28"/>
      <c r="B2491" s="1"/>
      <c r="C2491" s="29"/>
      <c r="D2491" s="27"/>
      <c r="E2491" s="27"/>
      <c r="F2491" s="27"/>
    </row>
    <row r="2492">
      <c r="A2492" s="28"/>
      <c r="B2492" s="1"/>
      <c r="C2492" s="29"/>
      <c r="D2492" s="27"/>
      <c r="E2492" s="27"/>
      <c r="F2492" s="27"/>
    </row>
    <row r="2493">
      <c r="A2493" s="28"/>
      <c r="B2493" s="1"/>
      <c r="C2493" s="29"/>
      <c r="D2493" s="27"/>
      <c r="E2493" s="27"/>
      <c r="F2493" s="27"/>
    </row>
    <row r="2494">
      <c r="A2494" s="28"/>
      <c r="B2494" s="1"/>
      <c r="C2494" s="29"/>
      <c r="D2494" s="27"/>
      <c r="E2494" s="27"/>
      <c r="F2494" s="27"/>
    </row>
    <row r="2495">
      <c r="A2495" s="28"/>
      <c r="B2495" s="1"/>
      <c r="C2495" s="29"/>
      <c r="D2495" s="27"/>
      <c r="E2495" s="27"/>
      <c r="F2495" s="27"/>
    </row>
    <row r="2496">
      <c r="A2496" s="28"/>
      <c r="B2496" s="1"/>
      <c r="C2496" s="29"/>
      <c r="D2496" s="27"/>
      <c r="E2496" s="27"/>
      <c r="F2496" s="27"/>
    </row>
    <row r="2497">
      <c r="A2497" s="28"/>
      <c r="B2497" s="1"/>
      <c r="C2497" s="29"/>
      <c r="D2497" s="27"/>
      <c r="E2497" s="27"/>
      <c r="F2497" s="27"/>
    </row>
    <row r="2498">
      <c r="A2498" s="28"/>
      <c r="B2498" s="1"/>
      <c r="C2498" s="29"/>
      <c r="D2498" s="27"/>
      <c r="E2498" s="27"/>
      <c r="F2498" s="27"/>
    </row>
    <row r="2499">
      <c r="A2499" s="28"/>
      <c r="B2499" s="1"/>
      <c r="C2499" s="29"/>
      <c r="D2499" s="27"/>
      <c r="E2499" s="27"/>
      <c r="F2499" s="27"/>
    </row>
    <row r="2500">
      <c r="A2500" s="28"/>
      <c r="B2500" s="1"/>
      <c r="C2500" s="29"/>
      <c r="D2500" s="27"/>
      <c r="E2500" s="27"/>
      <c r="F2500" s="27"/>
    </row>
    <row r="2501">
      <c r="A2501" s="28"/>
      <c r="B2501" s="1"/>
      <c r="C2501" s="29"/>
      <c r="D2501" s="27"/>
      <c r="E2501" s="27"/>
      <c r="F2501" s="27"/>
    </row>
    <row r="2502">
      <c r="A2502" s="28"/>
      <c r="B2502" s="1"/>
      <c r="C2502" s="29"/>
      <c r="D2502" s="27"/>
      <c r="E2502" s="27"/>
      <c r="F2502" s="27"/>
    </row>
    <row r="2503">
      <c r="A2503" s="28"/>
      <c r="B2503" s="1"/>
      <c r="C2503" s="29"/>
      <c r="D2503" s="27"/>
      <c r="E2503" s="27"/>
      <c r="F2503" s="27"/>
    </row>
    <row r="2504">
      <c r="A2504" s="28"/>
      <c r="B2504" s="1"/>
      <c r="C2504" s="29"/>
      <c r="D2504" s="27"/>
      <c r="E2504" s="27"/>
      <c r="F2504" s="27"/>
    </row>
    <row r="2505">
      <c r="A2505" s="28"/>
      <c r="B2505" s="1"/>
      <c r="C2505" s="29"/>
      <c r="D2505" s="27"/>
      <c r="E2505" s="27"/>
      <c r="F2505" s="27"/>
    </row>
    <row r="2506">
      <c r="A2506" s="28"/>
      <c r="B2506" s="1"/>
      <c r="C2506" s="29"/>
      <c r="D2506" s="27"/>
      <c r="E2506" s="27"/>
      <c r="F2506" s="27"/>
    </row>
    <row r="2507">
      <c r="A2507" s="28"/>
      <c r="B2507" s="1"/>
      <c r="C2507" s="29"/>
      <c r="D2507" s="27"/>
      <c r="E2507" s="27"/>
      <c r="F2507" s="27"/>
    </row>
    <row r="2508">
      <c r="A2508" s="28"/>
      <c r="B2508" s="1"/>
      <c r="C2508" s="29"/>
      <c r="D2508" s="27"/>
      <c r="E2508" s="27"/>
      <c r="F2508" s="27"/>
    </row>
    <row r="2509">
      <c r="A2509" s="28"/>
      <c r="B2509" s="1"/>
      <c r="C2509" s="29"/>
      <c r="D2509" s="27"/>
      <c r="E2509" s="27"/>
      <c r="F2509" s="27"/>
    </row>
    <row r="2510">
      <c r="A2510" s="28"/>
      <c r="B2510" s="1"/>
      <c r="C2510" s="29"/>
      <c r="D2510" s="27"/>
      <c r="E2510" s="27"/>
      <c r="F2510" s="27"/>
    </row>
    <row r="2511">
      <c r="A2511" s="28"/>
      <c r="B2511" s="1"/>
      <c r="C2511" s="29"/>
      <c r="D2511" s="27"/>
      <c r="E2511" s="27"/>
      <c r="F2511" s="27"/>
    </row>
    <row r="2512">
      <c r="A2512" s="28"/>
      <c r="B2512" s="1"/>
      <c r="C2512" s="29"/>
      <c r="D2512" s="27"/>
      <c r="E2512" s="27"/>
      <c r="F2512" s="27"/>
    </row>
    <row r="2513">
      <c r="A2513" s="28"/>
      <c r="B2513" s="1"/>
      <c r="C2513" s="29"/>
      <c r="D2513" s="27"/>
      <c r="E2513" s="27"/>
      <c r="F2513" s="27"/>
    </row>
    <row r="2514">
      <c r="A2514" s="28"/>
      <c r="B2514" s="1"/>
      <c r="C2514" s="29"/>
      <c r="D2514" s="27"/>
      <c r="E2514" s="27"/>
      <c r="F2514" s="27"/>
    </row>
    <row r="2515">
      <c r="A2515" s="28"/>
      <c r="B2515" s="1"/>
      <c r="C2515" s="29"/>
      <c r="D2515" s="27"/>
      <c r="E2515" s="27"/>
      <c r="F2515" s="27"/>
    </row>
    <row r="2516">
      <c r="A2516" s="28"/>
      <c r="B2516" s="1"/>
      <c r="C2516" s="29"/>
      <c r="D2516" s="27"/>
      <c r="E2516" s="27"/>
      <c r="F2516" s="27"/>
    </row>
    <row r="2517">
      <c r="A2517" s="28"/>
      <c r="B2517" s="1"/>
      <c r="C2517" s="29"/>
      <c r="D2517" s="27"/>
      <c r="E2517" s="27"/>
      <c r="F2517" s="27"/>
    </row>
    <row r="2518">
      <c r="A2518" s="28"/>
      <c r="B2518" s="1"/>
      <c r="C2518" s="29"/>
      <c r="D2518" s="27"/>
      <c r="E2518" s="27"/>
      <c r="F2518" s="27"/>
    </row>
    <row r="2519">
      <c r="A2519" s="28"/>
      <c r="B2519" s="1"/>
      <c r="C2519" s="29"/>
      <c r="D2519" s="27"/>
      <c r="E2519" s="27"/>
      <c r="F2519" s="27"/>
    </row>
    <row r="2520">
      <c r="A2520" s="28"/>
      <c r="B2520" s="1"/>
      <c r="C2520" s="29"/>
      <c r="D2520" s="27"/>
      <c r="E2520" s="27"/>
      <c r="F2520" s="27"/>
    </row>
    <row r="2521">
      <c r="A2521" s="28"/>
      <c r="B2521" s="1"/>
      <c r="C2521" s="29"/>
      <c r="D2521" s="27"/>
      <c r="E2521" s="27"/>
      <c r="F2521" s="27"/>
    </row>
    <row r="2522">
      <c r="A2522" s="28"/>
      <c r="B2522" s="1"/>
      <c r="C2522" s="29"/>
      <c r="D2522" s="27"/>
      <c r="E2522" s="27"/>
      <c r="F2522" s="27"/>
    </row>
    <row r="2523">
      <c r="A2523" s="28"/>
      <c r="B2523" s="1"/>
      <c r="C2523" s="29"/>
      <c r="D2523" s="27"/>
      <c r="E2523" s="27"/>
      <c r="F2523" s="27"/>
    </row>
    <row r="2524">
      <c r="A2524" s="28"/>
      <c r="B2524" s="1"/>
      <c r="C2524" s="29"/>
      <c r="D2524" s="27"/>
      <c r="E2524" s="27"/>
      <c r="F2524" s="27"/>
    </row>
    <row r="2525">
      <c r="A2525" s="28"/>
      <c r="B2525" s="1"/>
      <c r="C2525" s="29"/>
      <c r="D2525" s="27"/>
      <c r="E2525" s="27"/>
      <c r="F2525" s="27"/>
    </row>
    <row r="2526">
      <c r="A2526" s="28"/>
      <c r="B2526" s="1"/>
      <c r="C2526" s="29"/>
      <c r="D2526" s="27"/>
      <c r="E2526" s="27"/>
      <c r="F2526" s="27"/>
    </row>
    <row r="2527">
      <c r="A2527" s="28"/>
      <c r="B2527" s="1"/>
      <c r="C2527" s="29"/>
      <c r="D2527" s="27"/>
      <c r="E2527" s="27"/>
      <c r="F2527" s="27"/>
    </row>
    <row r="2528">
      <c r="A2528" s="28"/>
      <c r="B2528" s="1"/>
      <c r="C2528" s="29"/>
      <c r="D2528" s="27"/>
      <c r="E2528" s="27"/>
      <c r="F2528" s="27"/>
    </row>
    <row r="2529">
      <c r="A2529" s="28"/>
      <c r="B2529" s="1"/>
      <c r="C2529" s="29"/>
      <c r="D2529" s="27"/>
      <c r="E2529" s="27"/>
      <c r="F2529" s="27"/>
    </row>
    <row r="2530">
      <c r="A2530" s="28"/>
      <c r="B2530" s="1"/>
      <c r="C2530" s="29"/>
      <c r="D2530" s="27"/>
      <c r="E2530" s="27"/>
      <c r="F2530" s="27"/>
    </row>
    <row r="2531">
      <c r="A2531" s="28"/>
      <c r="B2531" s="1"/>
      <c r="C2531" s="29"/>
      <c r="D2531" s="27"/>
      <c r="E2531" s="27"/>
      <c r="F2531" s="27"/>
    </row>
    <row r="2532">
      <c r="A2532" s="28"/>
      <c r="B2532" s="1"/>
      <c r="C2532" s="29"/>
      <c r="D2532" s="27"/>
      <c r="E2532" s="27"/>
      <c r="F2532" s="27"/>
    </row>
    <row r="2533">
      <c r="A2533" s="28"/>
      <c r="B2533" s="1"/>
      <c r="C2533" s="29"/>
      <c r="D2533" s="27"/>
      <c r="E2533" s="27"/>
      <c r="F2533" s="27"/>
    </row>
    <row r="2534">
      <c r="A2534" s="28"/>
      <c r="B2534" s="1"/>
      <c r="C2534" s="29"/>
      <c r="D2534" s="27"/>
      <c r="E2534" s="27"/>
      <c r="F2534" s="27"/>
    </row>
    <row r="2535">
      <c r="A2535" s="28"/>
      <c r="B2535" s="1"/>
      <c r="C2535" s="29"/>
      <c r="D2535" s="27"/>
      <c r="E2535" s="27"/>
      <c r="F2535" s="27"/>
    </row>
    <row r="2536">
      <c r="A2536" s="28"/>
      <c r="B2536" s="1"/>
      <c r="C2536" s="29"/>
      <c r="D2536" s="27"/>
      <c r="E2536" s="27"/>
      <c r="F2536" s="27"/>
    </row>
    <row r="2537">
      <c r="A2537" s="28"/>
      <c r="B2537" s="1"/>
      <c r="C2537" s="29"/>
      <c r="D2537" s="27"/>
      <c r="E2537" s="27"/>
      <c r="F2537" s="27"/>
    </row>
    <row r="2538">
      <c r="A2538" s="28"/>
      <c r="B2538" s="1"/>
      <c r="C2538" s="29"/>
      <c r="D2538" s="27"/>
      <c r="E2538" s="27"/>
      <c r="F2538" s="27"/>
    </row>
    <row r="2539">
      <c r="A2539" s="28"/>
      <c r="B2539" s="1"/>
      <c r="C2539" s="29"/>
      <c r="D2539" s="27"/>
      <c r="E2539" s="27"/>
      <c r="F2539" s="27"/>
    </row>
    <row r="2540">
      <c r="A2540" s="28"/>
      <c r="B2540" s="1"/>
      <c r="C2540" s="29"/>
      <c r="D2540" s="27"/>
      <c r="E2540" s="27"/>
      <c r="F2540" s="27"/>
    </row>
    <row r="2541">
      <c r="A2541" s="28"/>
      <c r="B2541" s="1"/>
      <c r="C2541" s="29"/>
      <c r="D2541" s="27"/>
      <c r="E2541" s="27"/>
      <c r="F2541" s="27"/>
    </row>
    <row r="2542">
      <c r="A2542" s="28"/>
      <c r="B2542" s="1"/>
      <c r="C2542" s="29"/>
      <c r="D2542" s="27"/>
      <c r="E2542" s="27"/>
      <c r="F2542" s="27"/>
    </row>
    <row r="2543">
      <c r="A2543" s="28"/>
      <c r="B2543" s="1"/>
      <c r="C2543" s="29"/>
      <c r="D2543" s="27"/>
      <c r="E2543" s="27"/>
      <c r="F2543" s="27"/>
    </row>
    <row r="2544">
      <c r="A2544" s="28"/>
      <c r="B2544" s="1"/>
      <c r="C2544" s="29"/>
      <c r="D2544" s="27"/>
      <c r="E2544" s="27"/>
      <c r="F2544" s="27"/>
    </row>
    <row r="2545">
      <c r="A2545" s="28"/>
      <c r="B2545" s="1"/>
      <c r="C2545" s="29"/>
      <c r="D2545" s="27"/>
      <c r="E2545" s="27"/>
      <c r="F2545" s="27"/>
    </row>
    <row r="2546">
      <c r="A2546" s="28"/>
      <c r="B2546" s="1"/>
      <c r="C2546" s="29"/>
      <c r="D2546" s="27"/>
      <c r="E2546" s="27"/>
      <c r="F2546" s="27"/>
    </row>
    <row r="2547">
      <c r="A2547" s="28"/>
      <c r="B2547" s="1"/>
      <c r="C2547" s="29"/>
      <c r="D2547" s="27"/>
      <c r="E2547" s="27"/>
      <c r="F2547" s="27"/>
    </row>
    <row r="2548">
      <c r="A2548" s="28"/>
      <c r="B2548" s="1"/>
      <c r="C2548" s="29"/>
      <c r="D2548" s="27"/>
      <c r="E2548" s="27"/>
      <c r="F2548" s="27"/>
    </row>
    <row r="2549">
      <c r="A2549" s="28"/>
      <c r="B2549" s="1"/>
      <c r="C2549" s="29"/>
      <c r="D2549" s="27"/>
      <c r="E2549" s="27"/>
      <c r="F2549" s="27"/>
    </row>
    <row r="2550">
      <c r="A2550" s="28"/>
      <c r="B2550" s="1"/>
      <c r="C2550" s="29"/>
      <c r="D2550" s="27"/>
      <c r="E2550" s="27"/>
      <c r="F2550" s="27"/>
    </row>
    <row r="2551">
      <c r="A2551" s="28"/>
      <c r="B2551" s="1"/>
      <c r="C2551" s="29"/>
      <c r="D2551" s="27"/>
      <c r="E2551" s="27"/>
      <c r="F2551" s="27"/>
    </row>
    <row r="2552">
      <c r="A2552" s="28"/>
      <c r="B2552" s="1"/>
      <c r="C2552" s="29"/>
      <c r="D2552" s="27"/>
      <c r="E2552" s="27"/>
      <c r="F2552" s="27"/>
    </row>
    <row r="2553">
      <c r="A2553" s="28"/>
      <c r="B2553" s="1"/>
      <c r="C2553" s="29"/>
      <c r="D2553" s="27"/>
      <c r="E2553" s="27"/>
      <c r="F2553" s="27"/>
    </row>
    <row r="2554">
      <c r="A2554" s="28"/>
      <c r="B2554" s="1"/>
      <c r="C2554" s="29"/>
      <c r="D2554" s="27"/>
      <c r="E2554" s="27"/>
      <c r="F2554" s="27"/>
    </row>
    <row r="2555">
      <c r="A2555" s="28"/>
      <c r="B2555" s="1"/>
      <c r="C2555" s="29"/>
      <c r="D2555" s="27"/>
      <c r="E2555" s="27"/>
      <c r="F2555" s="27"/>
    </row>
    <row r="2556">
      <c r="A2556" s="28"/>
      <c r="B2556" s="1"/>
      <c r="C2556" s="29"/>
      <c r="D2556" s="27"/>
      <c r="E2556" s="27"/>
      <c r="F2556" s="27"/>
    </row>
    <row r="2557">
      <c r="A2557" s="28"/>
      <c r="B2557" s="1"/>
      <c r="C2557" s="29"/>
      <c r="D2557" s="27"/>
      <c r="E2557" s="27"/>
      <c r="F2557" s="27"/>
    </row>
    <row r="2558">
      <c r="A2558" s="28"/>
      <c r="B2558" s="1"/>
      <c r="C2558" s="29"/>
      <c r="D2558" s="27"/>
      <c r="E2558" s="27"/>
      <c r="F2558" s="27"/>
    </row>
    <row r="2559">
      <c r="A2559" s="28"/>
      <c r="B2559" s="1"/>
      <c r="C2559" s="29"/>
      <c r="D2559" s="27"/>
      <c r="E2559" s="27"/>
      <c r="F2559" s="27"/>
    </row>
    <row r="2560">
      <c r="A2560" s="28"/>
      <c r="B2560" s="1"/>
      <c r="C2560" s="29"/>
      <c r="D2560" s="27"/>
      <c r="E2560" s="27"/>
      <c r="F2560" s="27"/>
    </row>
    <row r="2561">
      <c r="A2561" s="28"/>
      <c r="B2561" s="1"/>
      <c r="C2561" s="29"/>
      <c r="D2561" s="27"/>
      <c r="E2561" s="27"/>
      <c r="F2561" s="27"/>
    </row>
    <row r="2562">
      <c r="A2562" s="28"/>
      <c r="B2562" s="1"/>
      <c r="C2562" s="29"/>
      <c r="D2562" s="27"/>
      <c r="E2562" s="27"/>
      <c r="F2562" s="27"/>
    </row>
    <row r="2563">
      <c r="A2563" s="28"/>
      <c r="B2563" s="1"/>
      <c r="C2563" s="29"/>
      <c r="D2563" s="27"/>
      <c r="E2563" s="27"/>
      <c r="F2563" s="27"/>
    </row>
    <row r="2564">
      <c r="A2564" s="28"/>
      <c r="B2564" s="1"/>
      <c r="C2564" s="29"/>
      <c r="D2564" s="27"/>
      <c r="E2564" s="27"/>
      <c r="F2564" s="27"/>
    </row>
    <row r="2565">
      <c r="A2565" s="28"/>
      <c r="B2565" s="1"/>
      <c r="C2565" s="29"/>
      <c r="D2565" s="27"/>
      <c r="E2565" s="27"/>
      <c r="F2565" s="27"/>
    </row>
    <row r="2566">
      <c r="A2566" s="28"/>
      <c r="B2566" s="1"/>
      <c r="C2566" s="29"/>
      <c r="D2566" s="27"/>
      <c r="E2566" s="27"/>
      <c r="F2566" s="27"/>
    </row>
    <row r="2567">
      <c r="A2567" s="28"/>
      <c r="B2567" s="1"/>
      <c r="C2567" s="29"/>
      <c r="D2567" s="27"/>
      <c r="E2567" s="27"/>
      <c r="F2567" s="27"/>
    </row>
    <row r="2568">
      <c r="A2568" s="28"/>
      <c r="B2568" s="1"/>
      <c r="C2568" s="29"/>
      <c r="D2568" s="27"/>
      <c r="E2568" s="27"/>
      <c r="F2568" s="27"/>
    </row>
    <row r="2569">
      <c r="A2569" s="28"/>
      <c r="B2569" s="1"/>
      <c r="C2569" s="29"/>
      <c r="D2569" s="27"/>
      <c r="E2569" s="27"/>
      <c r="F2569" s="27"/>
    </row>
    <row r="2570">
      <c r="A2570" s="28"/>
      <c r="B2570" s="1"/>
      <c r="C2570" s="29"/>
      <c r="D2570" s="27"/>
      <c r="E2570" s="27"/>
      <c r="F2570" s="27"/>
    </row>
    <row r="2571">
      <c r="A2571" s="28"/>
      <c r="B2571" s="1"/>
      <c r="C2571" s="29"/>
      <c r="D2571" s="27"/>
      <c r="E2571" s="27"/>
      <c r="F2571" s="27"/>
    </row>
    <row r="2572">
      <c r="A2572" s="28"/>
      <c r="B2572" s="1"/>
      <c r="C2572" s="29"/>
      <c r="D2572" s="27"/>
      <c r="E2572" s="27"/>
      <c r="F2572" s="27"/>
    </row>
    <row r="2573">
      <c r="A2573" s="28"/>
      <c r="B2573" s="1"/>
      <c r="C2573" s="29"/>
      <c r="D2573" s="27"/>
      <c r="E2573" s="27"/>
      <c r="F2573" s="27"/>
    </row>
    <row r="2574">
      <c r="A2574" s="28"/>
      <c r="B2574" s="1"/>
      <c r="C2574" s="29"/>
      <c r="D2574" s="27"/>
      <c r="E2574" s="27"/>
      <c r="F2574" s="27"/>
    </row>
    <row r="2575">
      <c r="A2575" s="28"/>
      <c r="B2575" s="1"/>
      <c r="C2575" s="29"/>
      <c r="D2575" s="27"/>
      <c r="E2575" s="27"/>
      <c r="F2575" s="27"/>
    </row>
    <row r="2576">
      <c r="A2576" s="28"/>
      <c r="B2576" s="1"/>
      <c r="C2576" s="29"/>
      <c r="D2576" s="27"/>
      <c r="E2576" s="27"/>
      <c r="F2576" s="27"/>
    </row>
    <row r="2577">
      <c r="A2577" s="28"/>
      <c r="B2577" s="1"/>
      <c r="C2577" s="29"/>
      <c r="D2577" s="27"/>
      <c r="E2577" s="27"/>
      <c r="F2577" s="27"/>
    </row>
    <row r="2578">
      <c r="A2578" s="28"/>
      <c r="B2578" s="1"/>
      <c r="C2578" s="29"/>
      <c r="D2578" s="27"/>
      <c r="E2578" s="27"/>
      <c r="F2578" s="27"/>
    </row>
    <row r="2579">
      <c r="A2579" s="28"/>
      <c r="B2579" s="1"/>
      <c r="C2579" s="29"/>
      <c r="D2579" s="27"/>
      <c r="E2579" s="27"/>
      <c r="F2579" s="27"/>
    </row>
    <row r="2580">
      <c r="A2580" s="28"/>
      <c r="B2580" s="1"/>
      <c r="C2580" s="29"/>
      <c r="D2580" s="27"/>
      <c r="E2580" s="27"/>
      <c r="F2580" s="27"/>
    </row>
    <row r="2581">
      <c r="A2581" s="28"/>
      <c r="B2581" s="1"/>
      <c r="C2581" s="29"/>
      <c r="D2581" s="27"/>
      <c r="E2581" s="27"/>
      <c r="F2581" s="27"/>
    </row>
    <row r="2582">
      <c r="A2582" s="28"/>
      <c r="B2582" s="1"/>
      <c r="C2582" s="29"/>
      <c r="D2582" s="27"/>
      <c r="E2582" s="27"/>
      <c r="F2582" s="27"/>
    </row>
    <row r="2583">
      <c r="A2583" s="28"/>
      <c r="B2583" s="1"/>
      <c r="C2583" s="29"/>
      <c r="D2583" s="27"/>
      <c r="E2583" s="27"/>
      <c r="F2583" s="27"/>
    </row>
    <row r="2584">
      <c r="A2584" s="28"/>
      <c r="B2584" s="1"/>
      <c r="C2584" s="29"/>
      <c r="D2584" s="27"/>
      <c r="E2584" s="27"/>
      <c r="F2584" s="27"/>
    </row>
    <row r="2585">
      <c r="A2585" s="28"/>
      <c r="B2585" s="1"/>
      <c r="C2585" s="29"/>
      <c r="D2585" s="27"/>
      <c r="E2585" s="27"/>
      <c r="F2585" s="27"/>
    </row>
    <row r="2586">
      <c r="A2586" s="28"/>
      <c r="B2586" s="1"/>
      <c r="C2586" s="29"/>
      <c r="D2586" s="27"/>
      <c r="E2586" s="27"/>
      <c r="F2586" s="27"/>
    </row>
    <row r="2587">
      <c r="A2587" s="28"/>
      <c r="B2587" s="1"/>
      <c r="C2587" s="29"/>
      <c r="D2587" s="27"/>
      <c r="E2587" s="27"/>
      <c r="F2587" s="27"/>
    </row>
    <row r="2588">
      <c r="A2588" s="28"/>
      <c r="B2588" s="1"/>
      <c r="C2588" s="29"/>
      <c r="D2588" s="27"/>
      <c r="E2588" s="27"/>
      <c r="F2588" s="27"/>
    </row>
    <row r="2589">
      <c r="A2589" s="28"/>
      <c r="B2589" s="1"/>
      <c r="C2589" s="29"/>
      <c r="D2589" s="27"/>
      <c r="E2589" s="27"/>
      <c r="F2589" s="27"/>
    </row>
    <row r="2590">
      <c r="A2590" s="28"/>
      <c r="B2590" s="1"/>
      <c r="C2590" s="29"/>
      <c r="D2590" s="27"/>
      <c r="E2590" s="27"/>
      <c r="F2590" s="27"/>
    </row>
    <row r="2591">
      <c r="A2591" s="28"/>
      <c r="B2591" s="1"/>
      <c r="C2591" s="29"/>
      <c r="D2591" s="27"/>
      <c r="E2591" s="27"/>
      <c r="F2591" s="27"/>
    </row>
    <row r="2592">
      <c r="A2592" s="28"/>
      <c r="B2592" s="1"/>
      <c r="C2592" s="29"/>
      <c r="D2592" s="27"/>
      <c r="E2592" s="27"/>
      <c r="F2592" s="27"/>
    </row>
    <row r="2593">
      <c r="A2593" s="28"/>
      <c r="B2593" s="1"/>
      <c r="C2593" s="29"/>
      <c r="D2593" s="27"/>
      <c r="E2593" s="27"/>
      <c r="F2593" s="27"/>
    </row>
    <row r="2594">
      <c r="A2594" s="28"/>
      <c r="B2594" s="1"/>
      <c r="C2594" s="29"/>
      <c r="D2594" s="27"/>
      <c r="E2594" s="27"/>
      <c r="F2594" s="27"/>
    </row>
    <row r="2595">
      <c r="A2595" s="28"/>
      <c r="B2595" s="1"/>
      <c r="C2595" s="29"/>
      <c r="D2595" s="27"/>
      <c r="E2595" s="27"/>
      <c r="F2595" s="27"/>
    </row>
    <row r="2596">
      <c r="A2596" s="28"/>
      <c r="B2596" s="1"/>
      <c r="C2596" s="29"/>
      <c r="D2596" s="27"/>
      <c r="E2596" s="27"/>
      <c r="F2596" s="27"/>
    </row>
    <row r="2597">
      <c r="A2597" s="28"/>
      <c r="B2597" s="1"/>
      <c r="C2597" s="29"/>
      <c r="D2597" s="27"/>
      <c r="E2597" s="27"/>
      <c r="F2597" s="27"/>
    </row>
    <row r="2598">
      <c r="A2598" s="28"/>
      <c r="B2598" s="1"/>
      <c r="C2598" s="29"/>
      <c r="D2598" s="27"/>
      <c r="E2598" s="27"/>
      <c r="F2598" s="27"/>
    </row>
    <row r="2599">
      <c r="A2599" s="28"/>
      <c r="B2599" s="1"/>
      <c r="C2599" s="29"/>
      <c r="D2599" s="27"/>
      <c r="E2599" s="27"/>
      <c r="F2599" s="27"/>
    </row>
    <row r="2600">
      <c r="A2600" s="28"/>
      <c r="B2600" s="1"/>
      <c r="C2600" s="29"/>
      <c r="D2600" s="27"/>
      <c r="E2600" s="27"/>
      <c r="F2600" s="27"/>
    </row>
    <row r="2601">
      <c r="A2601" s="28"/>
      <c r="B2601" s="1"/>
      <c r="C2601" s="29"/>
      <c r="D2601" s="27"/>
      <c r="E2601" s="27"/>
      <c r="F2601" s="27"/>
    </row>
    <row r="2602">
      <c r="A2602" s="28"/>
      <c r="B2602" s="1"/>
      <c r="C2602" s="29"/>
      <c r="D2602" s="27"/>
      <c r="E2602" s="27"/>
      <c r="F2602" s="27"/>
    </row>
    <row r="2603">
      <c r="A2603" s="28"/>
      <c r="B2603" s="1"/>
      <c r="C2603" s="29"/>
      <c r="D2603" s="27"/>
      <c r="E2603" s="27"/>
      <c r="F2603" s="27"/>
    </row>
    <row r="2604">
      <c r="A2604" s="28"/>
      <c r="B2604" s="1"/>
      <c r="C2604" s="29"/>
      <c r="D2604" s="27"/>
      <c r="E2604" s="27"/>
      <c r="F2604" s="27"/>
    </row>
    <row r="2605">
      <c r="A2605" s="28"/>
      <c r="B2605" s="1"/>
      <c r="C2605" s="29"/>
      <c r="D2605" s="27"/>
      <c r="E2605" s="27"/>
      <c r="F2605" s="27"/>
    </row>
    <row r="2606">
      <c r="A2606" s="28"/>
      <c r="B2606" s="1"/>
      <c r="C2606" s="29"/>
      <c r="D2606" s="27"/>
      <c r="E2606" s="27"/>
      <c r="F2606" s="27"/>
    </row>
    <row r="2607">
      <c r="A2607" s="28"/>
      <c r="B2607" s="1"/>
      <c r="C2607" s="29"/>
      <c r="D2607" s="27"/>
      <c r="E2607" s="27"/>
      <c r="F2607" s="27"/>
    </row>
    <row r="2608">
      <c r="A2608" s="28"/>
      <c r="B2608" s="1"/>
      <c r="C2608" s="29"/>
      <c r="D2608" s="27"/>
      <c r="E2608" s="27"/>
      <c r="F2608" s="27"/>
    </row>
    <row r="2609">
      <c r="A2609" s="28"/>
      <c r="B2609" s="1"/>
      <c r="C2609" s="29"/>
      <c r="D2609" s="27"/>
      <c r="E2609" s="27"/>
      <c r="F2609" s="27"/>
    </row>
    <row r="2610">
      <c r="A2610" s="28"/>
      <c r="B2610" s="1"/>
      <c r="C2610" s="29"/>
      <c r="D2610" s="27"/>
      <c r="E2610" s="27"/>
      <c r="F2610" s="27"/>
    </row>
    <row r="2611">
      <c r="A2611" s="28"/>
      <c r="B2611" s="1"/>
      <c r="C2611" s="29"/>
      <c r="D2611" s="27"/>
      <c r="E2611" s="27"/>
      <c r="F2611" s="27"/>
    </row>
    <row r="2612">
      <c r="A2612" s="28"/>
      <c r="B2612" s="1"/>
      <c r="C2612" s="29"/>
      <c r="D2612" s="27"/>
      <c r="E2612" s="27"/>
      <c r="F2612" s="27"/>
    </row>
    <row r="2613">
      <c r="A2613" s="28"/>
      <c r="B2613" s="1"/>
      <c r="C2613" s="29"/>
      <c r="D2613" s="27"/>
      <c r="E2613" s="27"/>
      <c r="F2613" s="27"/>
    </row>
    <row r="2614">
      <c r="A2614" s="28"/>
      <c r="B2614" s="1"/>
      <c r="C2614" s="29"/>
      <c r="D2614" s="27"/>
      <c r="E2614" s="27"/>
      <c r="F2614" s="27"/>
    </row>
    <row r="2615">
      <c r="A2615" s="28"/>
      <c r="B2615" s="1"/>
      <c r="C2615" s="29"/>
      <c r="D2615" s="27"/>
      <c r="E2615" s="27"/>
      <c r="F2615" s="27"/>
    </row>
    <row r="2616">
      <c r="A2616" s="28"/>
      <c r="B2616" s="1"/>
      <c r="C2616" s="29"/>
      <c r="D2616" s="27"/>
      <c r="E2616" s="27"/>
      <c r="F2616" s="27"/>
    </row>
    <row r="2617">
      <c r="A2617" s="28"/>
      <c r="B2617" s="1"/>
      <c r="C2617" s="29"/>
      <c r="D2617" s="27"/>
      <c r="E2617" s="27"/>
      <c r="F2617" s="27"/>
    </row>
    <row r="2618">
      <c r="A2618" s="28"/>
      <c r="B2618" s="1"/>
      <c r="C2618" s="29"/>
      <c r="D2618" s="27"/>
      <c r="E2618" s="27"/>
      <c r="F2618" s="27"/>
    </row>
    <row r="2619">
      <c r="A2619" s="28"/>
      <c r="B2619" s="1"/>
      <c r="C2619" s="29"/>
      <c r="D2619" s="27"/>
      <c r="E2619" s="27"/>
      <c r="F2619" s="27"/>
    </row>
    <row r="2620">
      <c r="A2620" s="28"/>
      <c r="B2620" s="1"/>
      <c r="C2620" s="29"/>
      <c r="D2620" s="27"/>
      <c r="E2620" s="27"/>
      <c r="F2620" s="27"/>
    </row>
    <row r="2621">
      <c r="A2621" s="28"/>
      <c r="B2621" s="1"/>
      <c r="C2621" s="29"/>
      <c r="D2621" s="27"/>
      <c r="E2621" s="27"/>
      <c r="F2621" s="27"/>
    </row>
    <row r="2622">
      <c r="A2622" s="28"/>
      <c r="B2622" s="1"/>
      <c r="C2622" s="29"/>
      <c r="D2622" s="27"/>
      <c r="E2622" s="27"/>
      <c r="F2622" s="27"/>
    </row>
    <row r="2623">
      <c r="A2623" s="28"/>
      <c r="B2623" s="1"/>
      <c r="C2623" s="29"/>
      <c r="D2623" s="27"/>
      <c r="E2623" s="27"/>
      <c r="F2623" s="27"/>
    </row>
    <row r="2624">
      <c r="A2624" s="28"/>
      <c r="B2624" s="1"/>
      <c r="C2624" s="29"/>
      <c r="D2624" s="27"/>
      <c r="E2624" s="27"/>
      <c r="F2624" s="27"/>
    </row>
    <row r="2625">
      <c r="A2625" s="28"/>
      <c r="B2625" s="1"/>
      <c r="C2625" s="29"/>
      <c r="D2625" s="27"/>
      <c r="E2625" s="27"/>
      <c r="F2625" s="27"/>
    </row>
    <row r="2626">
      <c r="A2626" s="28"/>
      <c r="B2626" s="1"/>
      <c r="C2626" s="29"/>
      <c r="D2626" s="27"/>
      <c r="E2626" s="27"/>
      <c r="F2626" s="27"/>
    </row>
    <row r="2627">
      <c r="A2627" s="28"/>
      <c r="B2627" s="1"/>
      <c r="C2627" s="29"/>
      <c r="D2627" s="27"/>
      <c r="E2627" s="27"/>
      <c r="F2627" s="27"/>
    </row>
    <row r="2628">
      <c r="A2628" s="28"/>
      <c r="B2628" s="1"/>
      <c r="C2628" s="29"/>
      <c r="D2628" s="27"/>
      <c r="E2628" s="27"/>
      <c r="F2628" s="27"/>
    </row>
    <row r="2629">
      <c r="A2629" s="28"/>
      <c r="B2629" s="1"/>
      <c r="C2629" s="29"/>
      <c r="D2629" s="27"/>
      <c r="E2629" s="27"/>
      <c r="F2629" s="27"/>
    </row>
    <row r="2630">
      <c r="A2630" s="28"/>
      <c r="B2630" s="1"/>
      <c r="C2630" s="29"/>
      <c r="D2630" s="27"/>
      <c r="E2630" s="27"/>
      <c r="F2630" s="27"/>
    </row>
    <row r="2631">
      <c r="A2631" s="28"/>
      <c r="B2631" s="1"/>
      <c r="C2631" s="29"/>
      <c r="D2631" s="27"/>
      <c r="E2631" s="27"/>
      <c r="F2631" s="27"/>
    </row>
    <row r="2632">
      <c r="A2632" s="28"/>
      <c r="B2632" s="1"/>
      <c r="C2632" s="29"/>
      <c r="D2632" s="27"/>
      <c r="E2632" s="27"/>
      <c r="F2632" s="27"/>
    </row>
    <row r="2633">
      <c r="A2633" s="28"/>
      <c r="B2633" s="1"/>
      <c r="C2633" s="29"/>
      <c r="D2633" s="27"/>
      <c r="E2633" s="27"/>
      <c r="F2633" s="27"/>
    </row>
    <row r="2634">
      <c r="A2634" s="28"/>
      <c r="B2634" s="1"/>
      <c r="C2634" s="29"/>
      <c r="D2634" s="27"/>
      <c r="E2634" s="27"/>
      <c r="F2634" s="27"/>
    </row>
    <row r="2635">
      <c r="A2635" s="28"/>
      <c r="B2635" s="1"/>
      <c r="C2635" s="29"/>
      <c r="D2635" s="27"/>
      <c r="E2635" s="27"/>
      <c r="F2635" s="27"/>
    </row>
    <row r="2636">
      <c r="A2636" s="28"/>
      <c r="B2636" s="1"/>
      <c r="C2636" s="29"/>
      <c r="D2636" s="27"/>
      <c r="E2636" s="27"/>
      <c r="F2636" s="27"/>
    </row>
    <row r="2637">
      <c r="A2637" s="28"/>
      <c r="B2637" s="1"/>
      <c r="C2637" s="29"/>
      <c r="D2637" s="27"/>
      <c r="E2637" s="27"/>
      <c r="F2637" s="27"/>
    </row>
    <row r="2638">
      <c r="A2638" s="28"/>
      <c r="B2638" s="1"/>
      <c r="C2638" s="29"/>
      <c r="D2638" s="27"/>
      <c r="E2638" s="27"/>
      <c r="F2638" s="27"/>
    </row>
    <row r="2639">
      <c r="A2639" s="28"/>
      <c r="B2639" s="1"/>
      <c r="C2639" s="29"/>
      <c r="D2639" s="27"/>
      <c r="E2639" s="27"/>
      <c r="F2639" s="27"/>
    </row>
    <row r="2640">
      <c r="A2640" s="28"/>
      <c r="B2640" s="1"/>
      <c r="C2640" s="29"/>
      <c r="D2640" s="27"/>
      <c r="E2640" s="27"/>
      <c r="F2640" s="27"/>
    </row>
    <row r="2641">
      <c r="A2641" s="28"/>
      <c r="B2641" s="1"/>
      <c r="C2641" s="29"/>
      <c r="D2641" s="27"/>
      <c r="E2641" s="27"/>
      <c r="F2641" s="27"/>
    </row>
    <row r="2642">
      <c r="A2642" s="28"/>
      <c r="B2642" s="1"/>
      <c r="C2642" s="29"/>
      <c r="D2642" s="27"/>
      <c r="E2642" s="27"/>
      <c r="F2642" s="27"/>
    </row>
    <row r="2643">
      <c r="A2643" s="28"/>
      <c r="B2643" s="1"/>
      <c r="C2643" s="29"/>
      <c r="D2643" s="27"/>
      <c r="E2643" s="27"/>
      <c r="F2643" s="27"/>
    </row>
    <row r="2644">
      <c r="A2644" s="28"/>
      <c r="B2644" s="1"/>
      <c r="C2644" s="29"/>
      <c r="D2644" s="27"/>
      <c r="E2644" s="27"/>
      <c r="F2644" s="27"/>
    </row>
    <row r="2645">
      <c r="A2645" s="28"/>
      <c r="B2645" s="1"/>
      <c r="C2645" s="29"/>
      <c r="D2645" s="27"/>
      <c r="E2645" s="27"/>
      <c r="F2645" s="27"/>
    </row>
    <row r="2646">
      <c r="A2646" s="28"/>
      <c r="B2646" s="1"/>
      <c r="C2646" s="29"/>
      <c r="D2646" s="27"/>
      <c r="E2646" s="27"/>
      <c r="F2646" s="27"/>
    </row>
    <row r="2647">
      <c r="A2647" s="28"/>
      <c r="B2647" s="1"/>
      <c r="C2647" s="29"/>
      <c r="D2647" s="27"/>
      <c r="E2647" s="27"/>
      <c r="F2647" s="27"/>
    </row>
    <row r="2648">
      <c r="A2648" s="28"/>
      <c r="B2648" s="1"/>
      <c r="C2648" s="29"/>
      <c r="D2648" s="27"/>
      <c r="E2648" s="27"/>
      <c r="F2648" s="27"/>
    </row>
    <row r="2649">
      <c r="A2649" s="28"/>
      <c r="B2649" s="1"/>
      <c r="C2649" s="29"/>
      <c r="D2649" s="27"/>
      <c r="E2649" s="27"/>
      <c r="F2649" s="27"/>
    </row>
    <row r="2650">
      <c r="A2650" s="28"/>
      <c r="B2650" s="1"/>
      <c r="C2650" s="29"/>
      <c r="D2650" s="27"/>
      <c r="E2650" s="27"/>
      <c r="F2650" s="27"/>
    </row>
    <row r="2651">
      <c r="A2651" s="28"/>
      <c r="B2651" s="1"/>
      <c r="C2651" s="29"/>
      <c r="D2651" s="27"/>
      <c r="E2651" s="27"/>
      <c r="F2651" s="27"/>
    </row>
    <row r="2652">
      <c r="A2652" s="28"/>
      <c r="B2652" s="1"/>
      <c r="C2652" s="29"/>
      <c r="D2652" s="27"/>
      <c r="E2652" s="27"/>
      <c r="F2652" s="27"/>
    </row>
    <row r="2653">
      <c r="A2653" s="28"/>
      <c r="B2653" s="1"/>
      <c r="C2653" s="29"/>
      <c r="D2653" s="27"/>
      <c r="E2653" s="27"/>
      <c r="F2653" s="27"/>
    </row>
    <row r="2654">
      <c r="A2654" s="28"/>
      <c r="B2654" s="1"/>
      <c r="C2654" s="29"/>
      <c r="D2654" s="27"/>
      <c r="E2654" s="27"/>
      <c r="F2654" s="27"/>
    </row>
    <row r="2655">
      <c r="A2655" s="28"/>
      <c r="B2655" s="1"/>
      <c r="C2655" s="29"/>
      <c r="D2655" s="27"/>
      <c r="E2655" s="27"/>
      <c r="F2655" s="27"/>
    </row>
    <row r="2656">
      <c r="A2656" s="28"/>
      <c r="B2656" s="1"/>
      <c r="C2656" s="29"/>
      <c r="D2656" s="27"/>
      <c r="E2656" s="27"/>
      <c r="F2656" s="27"/>
    </row>
    <row r="2657">
      <c r="A2657" s="28"/>
      <c r="B2657" s="1"/>
      <c r="C2657" s="29"/>
      <c r="D2657" s="27"/>
      <c r="E2657" s="27"/>
      <c r="F2657" s="27"/>
    </row>
    <row r="2658">
      <c r="A2658" s="28"/>
      <c r="B2658" s="1"/>
      <c r="C2658" s="29"/>
      <c r="D2658" s="27"/>
      <c r="E2658" s="27"/>
      <c r="F2658" s="27"/>
    </row>
    <row r="2659">
      <c r="A2659" s="28"/>
      <c r="B2659" s="1"/>
      <c r="C2659" s="29"/>
      <c r="D2659" s="27"/>
      <c r="E2659" s="27"/>
      <c r="F2659" s="27"/>
    </row>
    <row r="2660">
      <c r="A2660" s="28"/>
      <c r="B2660" s="1"/>
      <c r="C2660" s="29"/>
      <c r="D2660" s="27"/>
      <c r="E2660" s="27"/>
      <c r="F2660" s="27"/>
    </row>
    <row r="2661">
      <c r="A2661" s="28"/>
      <c r="B2661" s="1"/>
      <c r="C2661" s="29"/>
      <c r="D2661" s="27"/>
      <c r="E2661" s="27"/>
      <c r="F2661" s="27"/>
    </row>
    <row r="2662">
      <c r="A2662" s="28"/>
      <c r="B2662" s="1"/>
      <c r="C2662" s="29"/>
      <c r="D2662" s="27"/>
      <c r="E2662" s="27"/>
      <c r="F2662" s="27"/>
    </row>
    <row r="2663">
      <c r="A2663" s="28"/>
      <c r="B2663" s="1"/>
      <c r="C2663" s="29"/>
      <c r="D2663" s="27"/>
      <c r="E2663" s="27"/>
      <c r="F2663" s="27"/>
    </row>
    <row r="2664">
      <c r="A2664" s="28"/>
      <c r="B2664" s="1"/>
      <c r="C2664" s="29"/>
      <c r="D2664" s="27"/>
      <c r="E2664" s="27"/>
      <c r="F2664" s="27"/>
    </row>
    <row r="2665">
      <c r="A2665" s="28"/>
      <c r="B2665" s="1"/>
      <c r="C2665" s="29"/>
      <c r="D2665" s="27"/>
      <c r="E2665" s="27"/>
      <c r="F2665" s="27"/>
    </row>
    <row r="2666">
      <c r="A2666" s="28"/>
      <c r="B2666" s="1"/>
      <c r="C2666" s="29"/>
      <c r="D2666" s="27"/>
      <c r="E2666" s="27"/>
      <c r="F2666" s="27"/>
    </row>
    <row r="2667">
      <c r="A2667" s="28"/>
      <c r="B2667" s="1"/>
      <c r="C2667" s="29"/>
      <c r="D2667" s="27"/>
      <c r="E2667" s="27"/>
      <c r="F2667" s="27"/>
    </row>
    <row r="2668">
      <c r="A2668" s="28"/>
      <c r="B2668" s="1"/>
      <c r="C2668" s="29"/>
      <c r="D2668" s="27"/>
      <c r="E2668" s="27"/>
      <c r="F2668" s="27"/>
    </row>
    <row r="2669">
      <c r="A2669" s="28"/>
      <c r="B2669" s="1"/>
      <c r="C2669" s="29"/>
      <c r="D2669" s="27"/>
      <c r="E2669" s="27"/>
      <c r="F2669" s="27"/>
    </row>
    <row r="2670">
      <c r="A2670" s="28"/>
      <c r="B2670" s="1"/>
      <c r="C2670" s="29"/>
      <c r="D2670" s="27"/>
      <c r="E2670" s="27"/>
      <c r="F2670" s="27"/>
    </row>
    <row r="2671">
      <c r="A2671" s="28"/>
      <c r="B2671" s="1"/>
      <c r="C2671" s="29"/>
      <c r="D2671" s="27"/>
      <c r="E2671" s="27"/>
      <c r="F2671" s="27"/>
    </row>
    <row r="2672">
      <c r="A2672" s="28"/>
      <c r="B2672" s="1"/>
      <c r="C2672" s="29"/>
      <c r="D2672" s="27"/>
      <c r="E2672" s="27"/>
      <c r="F2672" s="27"/>
    </row>
    <row r="2673">
      <c r="A2673" s="28"/>
      <c r="B2673" s="1"/>
      <c r="C2673" s="29"/>
      <c r="D2673" s="27"/>
      <c r="E2673" s="27"/>
      <c r="F2673" s="27"/>
    </row>
    <row r="2674">
      <c r="A2674" s="28"/>
      <c r="B2674" s="1"/>
      <c r="C2674" s="29"/>
      <c r="D2674" s="27"/>
      <c r="E2674" s="27"/>
      <c r="F2674" s="27"/>
    </row>
    <row r="2675">
      <c r="A2675" s="28"/>
      <c r="B2675" s="1"/>
      <c r="C2675" s="29"/>
      <c r="D2675" s="27"/>
      <c r="E2675" s="27"/>
      <c r="F2675" s="27"/>
    </row>
    <row r="2676">
      <c r="A2676" s="28"/>
      <c r="B2676" s="1"/>
      <c r="C2676" s="29"/>
      <c r="D2676" s="27"/>
      <c r="E2676" s="27"/>
      <c r="F2676" s="27"/>
    </row>
    <row r="2677">
      <c r="A2677" s="28"/>
      <c r="B2677" s="1"/>
      <c r="C2677" s="29"/>
      <c r="D2677" s="27"/>
      <c r="E2677" s="27"/>
      <c r="F2677" s="27"/>
    </row>
    <row r="2678">
      <c r="A2678" s="28"/>
      <c r="B2678" s="1"/>
      <c r="C2678" s="29"/>
      <c r="D2678" s="27"/>
      <c r="E2678" s="27"/>
      <c r="F2678" s="27"/>
    </row>
    <row r="2679">
      <c r="A2679" s="28"/>
      <c r="B2679" s="1"/>
      <c r="C2679" s="29"/>
      <c r="D2679" s="27"/>
      <c r="E2679" s="27"/>
      <c r="F2679" s="27"/>
    </row>
    <row r="2680">
      <c r="A2680" s="28"/>
      <c r="B2680" s="1"/>
      <c r="C2680" s="29"/>
      <c r="D2680" s="27"/>
      <c r="E2680" s="27"/>
      <c r="F2680" s="27"/>
    </row>
    <row r="2681">
      <c r="A2681" s="28"/>
      <c r="B2681" s="1"/>
      <c r="C2681" s="29"/>
      <c r="D2681" s="27"/>
      <c r="E2681" s="27"/>
      <c r="F2681" s="27"/>
    </row>
    <row r="2682">
      <c r="A2682" s="28"/>
      <c r="B2682" s="1"/>
      <c r="C2682" s="29"/>
      <c r="D2682" s="27"/>
      <c r="E2682" s="27"/>
      <c r="F2682" s="27"/>
    </row>
    <row r="2683">
      <c r="A2683" s="28"/>
      <c r="B2683" s="1"/>
      <c r="C2683" s="29"/>
      <c r="D2683" s="27"/>
      <c r="E2683" s="27"/>
      <c r="F2683" s="27"/>
    </row>
    <row r="2684">
      <c r="A2684" s="28"/>
      <c r="B2684" s="1"/>
      <c r="C2684" s="29"/>
      <c r="D2684" s="27"/>
      <c r="E2684" s="27"/>
      <c r="F2684" s="27"/>
    </row>
    <row r="2685">
      <c r="A2685" s="28"/>
      <c r="B2685" s="1"/>
      <c r="C2685" s="29"/>
      <c r="D2685" s="27"/>
      <c r="E2685" s="27"/>
      <c r="F2685" s="27"/>
    </row>
    <row r="2686">
      <c r="A2686" s="28"/>
      <c r="B2686" s="1"/>
      <c r="C2686" s="29"/>
      <c r="D2686" s="27"/>
      <c r="E2686" s="27"/>
      <c r="F2686" s="27"/>
    </row>
    <row r="2687">
      <c r="A2687" s="28"/>
      <c r="B2687" s="1"/>
      <c r="C2687" s="29"/>
      <c r="D2687" s="27"/>
      <c r="E2687" s="27"/>
      <c r="F2687" s="27"/>
    </row>
    <row r="2688">
      <c r="A2688" s="28"/>
      <c r="B2688" s="1"/>
      <c r="C2688" s="29"/>
      <c r="D2688" s="27"/>
      <c r="E2688" s="27"/>
      <c r="F2688" s="27"/>
    </row>
    <row r="2689">
      <c r="A2689" s="28"/>
      <c r="B2689" s="1"/>
      <c r="C2689" s="29"/>
      <c r="D2689" s="27"/>
      <c r="E2689" s="27"/>
      <c r="F2689" s="27"/>
    </row>
    <row r="2690">
      <c r="A2690" s="28"/>
      <c r="B2690" s="1"/>
      <c r="C2690" s="29"/>
      <c r="D2690" s="27"/>
      <c r="E2690" s="27"/>
      <c r="F2690" s="27"/>
    </row>
    <row r="2691">
      <c r="A2691" s="28"/>
      <c r="B2691" s="1"/>
      <c r="C2691" s="29"/>
      <c r="D2691" s="27"/>
      <c r="E2691" s="27"/>
      <c r="F2691" s="27"/>
    </row>
    <row r="2692">
      <c r="A2692" s="28"/>
      <c r="B2692" s="1"/>
      <c r="C2692" s="29"/>
      <c r="D2692" s="27"/>
      <c r="E2692" s="27"/>
      <c r="F2692" s="27"/>
    </row>
    <row r="2693">
      <c r="A2693" s="28"/>
      <c r="B2693" s="1"/>
      <c r="C2693" s="29"/>
      <c r="D2693" s="27"/>
      <c r="E2693" s="27"/>
      <c r="F2693" s="27"/>
    </row>
    <row r="2694">
      <c r="A2694" s="28"/>
      <c r="B2694" s="1"/>
      <c r="C2694" s="29"/>
      <c r="D2694" s="27"/>
      <c r="E2694" s="27"/>
      <c r="F2694" s="27"/>
    </row>
    <row r="2695">
      <c r="A2695" s="28"/>
      <c r="B2695" s="1"/>
      <c r="C2695" s="29"/>
      <c r="D2695" s="27"/>
      <c r="E2695" s="27"/>
      <c r="F2695" s="27"/>
    </row>
    <row r="2696">
      <c r="A2696" s="28"/>
      <c r="B2696" s="1"/>
      <c r="C2696" s="29"/>
      <c r="D2696" s="27"/>
      <c r="E2696" s="27"/>
      <c r="F2696" s="27"/>
    </row>
    <row r="2697">
      <c r="A2697" s="28"/>
      <c r="B2697" s="1"/>
      <c r="C2697" s="29"/>
      <c r="D2697" s="27"/>
      <c r="E2697" s="27"/>
      <c r="F2697" s="27"/>
    </row>
    <row r="2698">
      <c r="A2698" s="28"/>
      <c r="B2698" s="1"/>
      <c r="C2698" s="29"/>
      <c r="D2698" s="27"/>
      <c r="E2698" s="27"/>
      <c r="F2698" s="27"/>
    </row>
    <row r="2699">
      <c r="A2699" s="28"/>
      <c r="B2699" s="1"/>
      <c r="C2699" s="29"/>
      <c r="D2699" s="27"/>
      <c r="E2699" s="27"/>
      <c r="F2699" s="27"/>
    </row>
    <row r="2700">
      <c r="A2700" s="28"/>
      <c r="B2700" s="1"/>
      <c r="C2700" s="29"/>
      <c r="D2700" s="27"/>
      <c r="E2700" s="27"/>
      <c r="F2700" s="27"/>
    </row>
    <row r="2701">
      <c r="A2701" s="28"/>
      <c r="B2701" s="1"/>
      <c r="C2701" s="29"/>
      <c r="D2701" s="27"/>
      <c r="E2701" s="27"/>
      <c r="F2701" s="27"/>
    </row>
    <row r="2702">
      <c r="A2702" s="28"/>
      <c r="B2702" s="1"/>
      <c r="C2702" s="29"/>
      <c r="D2702" s="27"/>
      <c r="E2702" s="27"/>
      <c r="F2702" s="27"/>
    </row>
    <row r="2703">
      <c r="A2703" s="28"/>
      <c r="B2703" s="1"/>
      <c r="C2703" s="29"/>
      <c r="D2703" s="27"/>
      <c r="E2703" s="27"/>
      <c r="F2703" s="27"/>
    </row>
    <row r="2704">
      <c r="A2704" s="28"/>
      <c r="B2704" s="1"/>
      <c r="C2704" s="29"/>
      <c r="D2704" s="27"/>
      <c r="E2704" s="27"/>
      <c r="F2704" s="27"/>
    </row>
    <row r="2705">
      <c r="A2705" s="28"/>
      <c r="B2705" s="1"/>
      <c r="C2705" s="29"/>
      <c r="D2705" s="27"/>
      <c r="E2705" s="27"/>
      <c r="F2705" s="27"/>
    </row>
    <row r="2706">
      <c r="A2706" s="28"/>
      <c r="B2706" s="1"/>
      <c r="C2706" s="29"/>
      <c r="D2706" s="27"/>
      <c r="E2706" s="27"/>
      <c r="F2706" s="27"/>
    </row>
    <row r="2707">
      <c r="A2707" s="28"/>
      <c r="B2707" s="1"/>
      <c r="C2707" s="29"/>
      <c r="D2707" s="27"/>
      <c r="E2707" s="27"/>
      <c r="F2707" s="27"/>
    </row>
    <row r="2708">
      <c r="A2708" s="28"/>
      <c r="B2708" s="1"/>
      <c r="C2708" s="29"/>
      <c r="D2708" s="27"/>
      <c r="E2708" s="27"/>
      <c r="F2708" s="27"/>
    </row>
    <row r="2709">
      <c r="A2709" s="28"/>
      <c r="B2709" s="1"/>
      <c r="C2709" s="29"/>
      <c r="D2709" s="27"/>
      <c r="E2709" s="27"/>
      <c r="F2709" s="27"/>
    </row>
    <row r="2710">
      <c r="A2710" s="28"/>
      <c r="B2710" s="1"/>
      <c r="C2710" s="29"/>
      <c r="D2710" s="27"/>
      <c r="E2710" s="27"/>
      <c r="F2710" s="27"/>
    </row>
    <row r="2711">
      <c r="A2711" s="28"/>
      <c r="B2711" s="1"/>
      <c r="C2711" s="29"/>
      <c r="D2711" s="27"/>
      <c r="E2711" s="27"/>
      <c r="F2711" s="27"/>
    </row>
    <row r="2712">
      <c r="A2712" s="28"/>
      <c r="B2712" s="1"/>
      <c r="C2712" s="29"/>
      <c r="D2712" s="27"/>
      <c r="E2712" s="27"/>
      <c r="F2712" s="27"/>
    </row>
    <row r="2713">
      <c r="A2713" s="28"/>
      <c r="B2713" s="1"/>
      <c r="C2713" s="29"/>
      <c r="D2713" s="27"/>
      <c r="E2713" s="27"/>
      <c r="F2713" s="27"/>
    </row>
    <row r="2714">
      <c r="A2714" s="28"/>
      <c r="B2714" s="1"/>
      <c r="C2714" s="29"/>
      <c r="D2714" s="27"/>
      <c r="E2714" s="27"/>
      <c r="F2714" s="27"/>
    </row>
    <row r="2715">
      <c r="A2715" s="28"/>
      <c r="B2715" s="1"/>
      <c r="C2715" s="29"/>
      <c r="D2715" s="27"/>
      <c r="E2715" s="27"/>
      <c r="F2715" s="27"/>
    </row>
    <row r="2716">
      <c r="A2716" s="28"/>
      <c r="B2716" s="1"/>
      <c r="C2716" s="29"/>
      <c r="D2716" s="27"/>
      <c r="E2716" s="27"/>
      <c r="F2716" s="27"/>
    </row>
    <row r="2717">
      <c r="A2717" s="28"/>
      <c r="B2717" s="1"/>
      <c r="C2717" s="29"/>
      <c r="D2717" s="27"/>
      <c r="E2717" s="27"/>
      <c r="F2717" s="27"/>
    </row>
    <row r="2718">
      <c r="A2718" s="28"/>
      <c r="B2718" s="1"/>
      <c r="C2718" s="29"/>
      <c r="D2718" s="27"/>
      <c r="E2718" s="27"/>
      <c r="F2718" s="27"/>
    </row>
    <row r="2719">
      <c r="A2719" s="28"/>
      <c r="B2719" s="1"/>
      <c r="C2719" s="29"/>
      <c r="D2719" s="27"/>
      <c r="E2719" s="27"/>
      <c r="F2719" s="27"/>
    </row>
    <row r="2720">
      <c r="A2720" s="28"/>
      <c r="B2720" s="1"/>
      <c r="C2720" s="29"/>
      <c r="D2720" s="27"/>
      <c r="E2720" s="27"/>
      <c r="F2720" s="27"/>
    </row>
    <row r="2721">
      <c r="A2721" s="28"/>
      <c r="B2721" s="1"/>
      <c r="C2721" s="29"/>
      <c r="D2721" s="27"/>
      <c r="E2721" s="27"/>
      <c r="F2721" s="27"/>
    </row>
    <row r="2722">
      <c r="A2722" s="28"/>
      <c r="B2722" s="1"/>
      <c r="C2722" s="29"/>
      <c r="D2722" s="27"/>
      <c r="E2722" s="27"/>
      <c r="F2722" s="27"/>
    </row>
    <row r="2723">
      <c r="A2723" s="28"/>
      <c r="B2723" s="1"/>
      <c r="C2723" s="29"/>
      <c r="D2723" s="27"/>
      <c r="E2723" s="27"/>
      <c r="F2723" s="27"/>
    </row>
    <row r="2724">
      <c r="A2724" s="28"/>
      <c r="B2724" s="1"/>
      <c r="C2724" s="29"/>
      <c r="D2724" s="27"/>
      <c r="E2724" s="27"/>
      <c r="F2724" s="27"/>
    </row>
    <row r="2725">
      <c r="A2725" s="28"/>
      <c r="B2725" s="1"/>
      <c r="C2725" s="29"/>
      <c r="D2725" s="27"/>
      <c r="E2725" s="27"/>
      <c r="F2725" s="27"/>
    </row>
    <row r="2726">
      <c r="A2726" s="28"/>
      <c r="B2726" s="1"/>
      <c r="C2726" s="29"/>
      <c r="D2726" s="27"/>
      <c r="E2726" s="27"/>
      <c r="F2726" s="27"/>
    </row>
    <row r="2727">
      <c r="A2727" s="28"/>
      <c r="B2727" s="1"/>
      <c r="C2727" s="29"/>
      <c r="D2727" s="27"/>
      <c r="E2727" s="27"/>
      <c r="F2727" s="27"/>
    </row>
    <row r="2728">
      <c r="A2728" s="28"/>
      <c r="B2728" s="1"/>
      <c r="C2728" s="29"/>
      <c r="D2728" s="27"/>
      <c r="E2728" s="27"/>
      <c r="F2728" s="27"/>
    </row>
    <row r="2729">
      <c r="A2729" s="28"/>
      <c r="B2729" s="1"/>
      <c r="C2729" s="29"/>
      <c r="D2729" s="27"/>
      <c r="E2729" s="27"/>
      <c r="F2729" s="27"/>
    </row>
    <row r="2730">
      <c r="A2730" s="28"/>
      <c r="B2730" s="1"/>
      <c r="C2730" s="29"/>
      <c r="D2730" s="27"/>
      <c r="E2730" s="27"/>
      <c r="F2730" s="27"/>
    </row>
    <row r="2731">
      <c r="A2731" s="28"/>
      <c r="B2731" s="1"/>
      <c r="C2731" s="29"/>
      <c r="D2731" s="27"/>
      <c r="E2731" s="27"/>
      <c r="F2731" s="27"/>
    </row>
    <row r="2732">
      <c r="A2732" s="28"/>
      <c r="B2732" s="1"/>
      <c r="C2732" s="29"/>
      <c r="D2732" s="27"/>
      <c r="E2732" s="27"/>
      <c r="F2732" s="27"/>
    </row>
    <row r="2733">
      <c r="A2733" s="28"/>
      <c r="B2733" s="1"/>
      <c r="C2733" s="29"/>
      <c r="D2733" s="27"/>
      <c r="E2733" s="27"/>
      <c r="F2733" s="27"/>
    </row>
    <row r="2734">
      <c r="A2734" s="28"/>
      <c r="B2734" s="1"/>
      <c r="C2734" s="29"/>
      <c r="D2734" s="27"/>
      <c r="E2734" s="27"/>
      <c r="F2734" s="27"/>
    </row>
    <row r="2735">
      <c r="A2735" s="28"/>
      <c r="B2735" s="1"/>
      <c r="C2735" s="29"/>
      <c r="D2735" s="27"/>
      <c r="E2735" s="27"/>
      <c r="F2735" s="27"/>
    </row>
    <row r="2736">
      <c r="A2736" s="28"/>
      <c r="B2736" s="1"/>
      <c r="C2736" s="29"/>
      <c r="D2736" s="27"/>
      <c r="E2736" s="27"/>
      <c r="F2736" s="27"/>
    </row>
    <row r="2737">
      <c r="A2737" s="28"/>
      <c r="B2737" s="1"/>
      <c r="C2737" s="29"/>
      <c r="D2737" s="27"/>
      <c r="E2737" s="27"/>
      <c r="F2737" s="27"/>
    </row>
    <row r="2738">
      <c r="A2738" s="28"/>
      <c r="B2738" s="1"/>
      <c r="C2738" s="29"/>
      <c r="D2738" s="27"/>
      <c r="E2738" s="27"/>
      <c r="F2738" s="27"/>
    </row>
    <row r="2739">
      <c r="A2739" s="28"/>
      <c r="B2739" s="1"/>
      <c r="C2739" s="29"/>
      <c r="D2739" s="27"/>
      <c r="E2739" s="27"/>
      <c r="F2739" s="27"/>
    </row>
    <row r="2740">
      <c r="A2740" s="28"/>
      <c r="B2740" s="1"/>
      <c r="C2740" s="29"/>
      <c r="D2740" s="27"/>
      <c r="E2740" s="27"/>
      <c r="F2740" s="27"/>
    </row>
    <row r="2741">
      <c r="A2741" s="28"/>
      <c r="B2741" s="1"/>
      <c r="C2741" s="29"/>
      <c r="D2741" s="27"/>
      <c r="E2741" s="27"/>
      <c r="F2741" s="27"/>
    </row>
    <row r="2742">
      <c r="A2742" s="28"/>
      <c r="B2742" s="1"/>
      <c r="C2742" s="29"/>
      <c r="D2742" s="27"/>
      <c r="E2742" s="27"/>
      <c r="F2742" s="27"/>
    </row>
    <row r="2743">
      <c r="A2743" s="28"/>
      <c r="B2743" s="1"/>
      <c r="C2743" s="29"/>
      <c r="D2743" s="27"/>
      <c r="E2743" s="27"/>
      <c r="F2743" s="27"/>
    </row>
    <row r="2744">
      <c r="A2744" s="28"/>
      <c r="B2744" s="1"/>
      <c r="C2744" s="29"/>
      <c r="D2744" s="27"/>
      <c r="E2744" s="27"/>
      <c r="F2744" s="27"/>
    </row>
    <row r="2745">
      <c r="A2745" s="28"/>
      <c r="B2745" s="1"/>
      <c r="C2745" s="29"/>
      <c r="D2745" s="27"/>
      <c r="E2745" s="27"/>
      <c r="F2745" s="27"/>
    </row>
    <row r="2746">
      <c r="A2746" s="28"/>
      <c r="B2746" s="1"/>
      <c r="C2746" s="29"/>
      <c r="D2746" s="27"/>
      <c r="E2746" s="27"/>
      <c r="F2746" s="27"/>
    </row>
    <row r="2747">
      <c r="A2747" s="28"/>
      <c r="B2747" s="1"/>
      <c r="C2747" s="29"/>
      <c r="D2747" s="27"/>
      <c r="E2747" s="27"/>
      <c r="F2747" s="27"/>
    </row>
    <row r="2748">
      <c r="A2748" s="28"/>
      <c r="B2748" s="1"/>
      <c r="C2748" s="29"/>
      <c r="D2748" s="27"/>
      <c r="E2748" s="27"/>
      <c r="F2748" s="27"/>
    </row>
    <row r="2749">
      <c r="A2749" s="28"/>
      <c r="B2749" s="1"/>
      <c r="C2749" s="29"/>
      <c r="D2749" s="27"/>
      <c r="E2749" s="27"/>
      <c r="F2749" s="27"/>
    </row>
    <row r="2750">
      <c r="A2750" s="28"/>
      <c r="B2750" s="1"/>
      <c r="C2750" s="29"/>
      <c r="D2750" s="27"/>
      <c r="E2750" s="27"/>
      <c r="F2750" s="27"/>
    </row>
    <row r="2751">
      <c r="A2751" s="28"/>
      <c r="B2751" s="1"/>
      <c r="C2751" s="29"/>
      <c r="D2751" s="27"/>
      <c r="E2751" s="27"/>
      <c r="F2751" s="27"/>
    </row>
    <row r="2752">
      <c r="A2752" s="28"/>
      <c r="B2752" s="1"/>
      <c r="C2752" s="29"/>
      <c r="D2752" s="27"/>
      <c r="E2752" s="27"/>
      <c r="F2752" s="27"/>
    </row>
    <row r="2753">
      <c r="A2753" s="28"/>
      <c r="B2753" s="1"/>
      <c r="C2753" s="29"/>
      <c r="D2753" s="27"/>
      <c r="E2753" s="27"/>
      <c r="F2753" s="27"/>
    </row>
    <row r="2754">
      <c r="A2754" s="28"/>
      <c r="B2754" s="1"/>
      <c r="C2754" s="29"/>
      <c r="D2754" s="27"/>
      <c r="E2754" s="27"/>
      <c r="F2754" s="27"/>
    </row>
    <row r="2755">
      <c r="A2755" s="28"/>
      <c r="B2755" s="1"/>
      <c r="C2755" s="29"/>
      <c r="D2755" s="27"/>
      <c r="E2755" s="27"/>
      <c r="F2755" s="27"/>
    </row>
    <row r="2756">
      <c r="A2756" s="28"/>
      <c r="B2756" s="1"/>
      <c r="C2756" s="29"/>
      <c r="D2756" s="27"/>
      <c r="E2756" s="27"/>
      <c r="F2756" s="27"/>
    </row>
    <row r="2757">
      <c r="A2757" s="28"/>
      <c r="B2757" s="1"/>
      <c r="C2757" s="29"/>
      <c r="D2757" s="27"/>
      <c r="E2757" s="27"/>
      <c r="F2757" s="27"/>
    </row>
    <row r="2758">
      <c r="A2758" s="28"/>
      <c r="B2758" s="1"/>
      <c r="C2758" s="29"/>
      <c r="D2758" s="27"/>
      <c r="E2758" s="27"/>
      <c r="F2758" s="27"/>
    </row>
    <row r="2759">
      <c r="A2759" s="28"/>
      <c r="B2759" s="1"/>
      <c r="C2759" s="29"/>
      <c r="D2759" s="27"/>
      <c r="E2759" s="27"/>
      <c r="F2759" s="27"/>
    </row>
    <row r="2760">
      <c r="A2760" s="28"/>
      <c r="B2760" s="1"/>
      <c r="C2760" s="29"/>
      <c r="D2760" s="27"/>
      <c r="E2760" s="27"/>
      <c r="F2760" s="27"/>
    </row>
    <row r="2761">
      <c r="A2761" s="28"/>
      <c r="B2761" s="1"/>
      <c r="C2761" s="29"/>
      <c r="D2761" s="27"/>
      <c r="E2761" s="27"/>
      <c r="F2761" s="27"/>
    </row>
    <row r="2762">
      <c r="A2762" s="28"/>
      <c r="B2762" s="1"/>
      <c r="C2762" s="29"/>
      <c r="D2762" s="27"/>
      <c r="E2762" s="27"/>
      <c r="F2762" s="27"/>
    </row>
    <row r="2763">
      <c r="A2763" s="28"/>
      <c r="B2763" s="1"/>
      <c r="C2763" s="29"/>
      <c r="D2763" s="27"/>
      <c r="E2763" s="27"/>
      <c r="F2763" s="27"/>
    </row>
    <row r="2764">
      <c r="A2764" s="28"/>
      <c r="B2764" s="1"/>
      <c r="C2764" s="29"/>
      <c r="D2764" s="27"/>
      <c r="E2764" s="27"/>
      <c r="F2764" s="27"/>
    </row>
    <row r="2765">
      <c r="A2765" s="28"/>
      <c r="B2765" s="1"/>
      <c r="C2765" s="29"/>
      <c r="D2765" s="27"/>
      <c r="E2765" s="27"/>
      <c r="F2765" s="27"/>
    </row>
    <row r="2766">
      <c r="A2766" s="28"/>
      <c r="B2766" s="1"/>
      <c r="C2766" s="29"/>
      <c r="D2766" s="27"/>
      <c r="E2766" s="27"/>
      <c r="F2766" s="27"/>
    </row>
    <row r="2767">
      <c r="A2767" s="28"/>
      <c r="B2767" s="1"/>
      <c r="C2767" s="29"/>
      <c r="D2767" s="27"/>
      <c r="E2767" s="27"/>
      <c r="F2767" s="27"/>
    </row>
    <row r="2768">
      <c r="A2768" s="28"/>
      <c r="B2768" s="1"/>
      <c r="C2768" s="29"/>
      <c r="D2768" s="27"/>
      <c r="E2768" s="27"/>
      <c r="F2768" s="27"/>
    </row>
    <row r="2769">
      <c r="A2769" s="28"/>
      <c r="B2769" s="1"/>
      <c r="C2769" s="29"/>
      <c r="D2769" s="27"/>
      <c r="E2769" s="27"/>
      <c r="F2769" s="27"/>
    </row>
    <row r="2770">
      <c r="A2770" s="28"/>
      <c r="B2770" s="1"/>
      <c r="C2770" s="29"/>
      <c r="D2770" s="27"/>
      <c r="E2770" s="27"/>
      <c r="F2770" s="27"/>
    </row>
    <row r="2771">
      <c r="A2771" s="28"/>
      <c r="B2771" s="1"/>
      <c r="C2771" s="29"/>
      <c r="D2771" s="27"/>
      <c r="E2771" s="27"/>
      <c r="F2771" s="27"/>
    </row>
    <row r="2772">
      <c r="A2772" s="28"/>
      <c r="B2772" s="1"/>
      <c r="C2772" s="29"/>
      <c r="D2772" s="27"/>
      <c r="E2772" s="27"/>
      <c r="F2772" s="27"/>
    </row>
    <row r="2773">
      <c r="A2773" s="28"/>
      <c r="B2773" s="1"/>
      <c r="C2773" s="29"/>
      <c r="D2773" s="27"/>
      <c r="E2773" s="27"/>
      <c r="F2773" s="27"/>
    </row>
    <row r="2774">
      <c r="A2774" s="28"/>
      <c r="B2774" s="1"/>
      <c r="C2774" s="29"/>
      <c r="D2774" s="27"/>
      <c r="E2774" s="27"/>
      <c r="F2774" s="27"/>
    </row>
    <row r="2775">
      <c r="A2775" s="28"/>
      <c r="B2775" s="1"/>
      <c r="C2775" s="29"/>
      <c r="D2775" s="27"/>
      <c r="E2775" s="27"/>
      <c r="F2775" s="27"/>
    </row>
    <row r="2776">
      <c r="A2776" s="28"/>
      <c r="B2776" s="1"/>
      <c r="C2776" s="29"/>
      <c r="D2776" s="27"/>
      <c r="E2776" s="27"/>
      <c r="F2776" s="27"/>
    </row>
    <row r="2777">
      <c r="A2777" s="28"/>
      <c r="B2777" s="1"/>
      <c r="C2777" s="29"/>
      <c r="D2777" s="27"/>
      <c r="E2777" s="27"/>
      <c r="F2777" s="27"/>
    </row>
    <row r="2778">
      <c r="A2778" s="28"/>
      <c r="B2778" s="1"/>
      <c r="C2778" s="29"/>
      <c r="D2778" s="27"/>
      <c r="E2778" s="27"/>
      <c r="F2778" s="27"/>
    </row>
    <row r="2779">
      <c r="A2779" s="28"/>
      <c r="B2779" s="1"/>
      <c r="C2779" s="29"/>
      <c r="D2779" s="27"/>
      <c r="E2779" s="27"/>
      <c r="F2779" s="27"/>
    </row>
    <row r="2780">
      <c r="A2780" s="28"/>
      <c r="B2780" s="1"/>
      <c r="C2780" s="29"/>
      <c r="D2780" s="27"/>
      <c r="E2780" s="27"/>
      <c r="F2780" s="27"/>
    </row>
    <row r="2781">
      <c r="A2781" s="28"/>
      <c r="B2781" s="1"/>
      <c r="C2781" s="29"/>
      <c r="D2781" s="27"/>
      <c r="E2781" s="27"/>
      <c r="F2781" s="27"/>
    </row>
    <row r="2782">
      <c r="A2782" s="28"/>
      <c r="B2782" s="1"/>
      <c r="C2782" s="29"/>
      <c r="D2782" s="27"/>
      <c r="E2782" s="27"/>
      <c r="F2782" s="27"/>
    </row>
    <row r="2783">
      <c r="A2783" s="28"/>
      <c r="B2783" s="1"/>
      <c r="C2783" s="29"/>
      <c r="D2783" s="27"/>
      <c r="E2783" s="27"/>
      <c r="F2783" s="27"/>
    </row>
    <row r="2784">
      <c r="A2784" s="28"/>
      <c r="B2784" s="1"/>
      <c r="C2784" s="29"/>
      <c r="D2784" s="27"/>
      <c r="E2784" s="27"/>
      <c r="F2784" s="27"/>
    </row>
    <row r="2785">
      <c r="A2785" s="28"/>
      <c r="B2785" s="1"/>
      <c r="C2785" s="29"/>
      <c r="D2785" s="27"/>
      <c r="E2785" s="27"/>
      <c r="F2785" s="27"/>
    </row>
    <row r="2786">
      <c r="A2786" s="28"/>
      <c r="B2786" s="1"/>
      <c r="C2786" s="29"/>
      <c r="D2786" s="27"/>
      <c r="E2786" s="27"/>
      <c r="F2786" s="27"/>
    </row>
    <row r="2787">
      <c r="A2787" s="28"/>
      <c r="B2787" s="1"/>
      <c r="C2787" s="29"/>
      <c r="D2787" s="27"/>
      <c r="E2787" s="27"/>
      <c r="F2787" s="27"/>
    </row>
    <row r="2788">
      <c r="A2788" s="28"/>
      <c r="B2788" s="1"/>
      <c r="C2788" s="29"/>
      <c r="D2788" s="27"/>
      <c r="E2788" s="27"/>
      <c r="F2788" s="27"/>
    </row>
    <row r="2789">
      <c r="A2789" s="28"/>
      <c r="B2789" s="1"/>
      <c r="C2789" s="29"/>
      <c r="D2789" s="27"/>
      <c r="E2789" s="27"/>
      <c r="F2789" s="27"/>
    </row>
    <row r="2790">
      <c r="A2790" s="28"/>
      <c r="B2790" s="1"/>
      <c r="C2790" s="29"/>
      <c r="D2790" s="27"/>
      <c r="E2790" s="27"/>
      <c r="F2790" s="27"/>
    </row>
    <row r="2791">
      <c r="A2791" s="28"/>
      <c r="B2791" s="1"/>
      <c r="C2791" s="29"/>
      <c r="D2791" s="27"/>
      <c r="E2791" s="27"/>
      <c r="F2791" s="27"/>
    </row>
    <row r="2792">
      <c r="A2792" s="28"/>
      <c r="B2792" s="1"/>
      <c r="C2792" s="29"/>
      <c r="D2792" s="27"/>
      <c r="E2792" s="27"/>
      <c r="F2792" s="27"/>
    </row>
    <row r="2793">
      <c r="A2793" s="28"/>
      <c r="B2793" s="1"/>
      <c r="C2793" s="29"/>
      <c r="D2793" s="27"/>
      <c r="E2793" s="27"/>
      <c r="F2793" s="27"/>
    </row>
    <row r="2794">
      <c r="A2794" s="28"/>
      <c r="B2794" s="1"/>
      <c r="C2794" s="29"/>
      <c r="D2794" s="27"/>
      <c r="E2794" s="27"/>
      <c r="F2794" s="27"/>
    </row>
    <row r="2795">
      <c r="A2795" s="28"/>
      <c r="B2795" s="1"/>
      <c r="C2795" s="29"/>
      <c r="D2795" s="27"/>
      <c r="E2795" s="27"/>
      <c r="F2795" s="27"/>
    </row>
    <row r="2796">
      <c r="A2796" s="28"/>
      <c r="B2796" s="1"/>
      <c r="C2796" s="29"/>
      <c r="D2796" s="27"/>
      <c r="E2796" s="27"/>
      <c r="F2796" s="27"/>
    </row>
    <row r="2797">
      <c r="A2797" s="28"/>
      <c r="B2797" s="1"/>
      <c r="C2797" s="29"/>
      <c r="D2797" s="27"/>
      <c r="E2797" s="27"/>
      <c r="F2797" s="27"/>
    </row>
    <row r="2798">
      <c r="A2798" s="28"/>
      <c r="B2798" s="1"/>
      <c r="C2798" s="29"/>
      <c r="D2798" s="27"/>
      <c r="E2798" s="27"/>
      <c r="F2798" s="27"/>
    </row>
    <row r="2799">
      <c r="A2799" s="28"/>
      <c r="B2799" s="1"/>
      <c r="C2799" s="29"/>
      <c r="D2799" s="27"/>
      <c r="E2799" s="27"/>
      <c r="F2799" s="27"/>
    </row>
    <row r="2800">
      <c r="A2800" s="28"/>
      <c r="B2800" s="1"/>
      <c r="C2800" s="29"/>
      <c r="D2800" s="27"/>
      <c r="E2800" s="27"/>
      <c r="F2800" s="27"/>
    </row>
    <row r="2801">
      <c r="A2801" s="28"/>
      <c r="B2801" s="1"/>
      <c r="C2801" s="29"/>
      <c r="D2801" s="27"/>
      <c r="E2801" s="27"/>
      <c r="F2801" s="27"/>
    </row>
    <row r="2802">
      <c r="A2802" s="28"/>
      <c r="B2802" s="1"/>
      <c r="C2802" s="29"/>
      <c r="D2802" s="27"/>
      <c r="E2802" s="27"/>
      <c r="F2802" s="27"/>
    </row>
    <row r="2803">
      <c r="A2803" s="28"/>
      <c r="B2803" s="1"/>
      <c r="C2803" s="29"/>
      <c r="D2803" s="27"/>
      <c r="E2803" s="27"/>
      <c r="F2803" s="27"/>
    </row>
    <row r="2804">
      <c r="A2804" s="28"/>
      <c r="B2804" s="1"/>
      <c r="C2804" s="29"/>
      <c r="D2804" s="27"/>
      <c r="E2804" s="27"/>
      <c r="F2804" s="27"/>
    </row>
    <row r="2805">
      <c r="A2805" s="28"/>
      <c r="B2805" s="1"/>
      <c r="C2805" s="29"/>
      <c r="D2805" s="27"/>
      <c r="E2805" s="27"/>
      <c r="F2805" s="27"/>
    </row>
    <row r="2806">
      <c r="A2806" s="28"/>
      <c r="B2806" s="1"/>
      <c r="C2806" s="29"/>
      <c r="D2806" s="27"/>
      <c r="E2806" s="27"/>
      <c r="F2806" s="27"/>
    </row>
    <row r="2807">
      <c r="A2807" s="28"/>
      <c r="B2807" s="1"/>
      <c r="C2807" s="29"/>
      <c r="D2807" s="27"/>
      <c r="E2807" s="27"/>
      <c r="F2807" s="27"/>
    </row>
    <row r="2808">
      <c r="A2808" s="28"/>
      <c r="B2808" s="1"/>
      <c r="C2808" s="29"/>
      <c r="D2808" s="27"/>
      <c r="E2808" s="27"/>
      <c r="F2808" s="27"/>
    </row>
    <row r="2809">
      <c r="A2809" s="28"/>
      <c r="B2809" s="1"/>
      <c r="C2809" s="29"/>
      <c r="D2809" s="27"/>
      <c r="E2809" s="27"/>
      <c r="F2809" s="27"/>
    </row>
    <row r="2810">
      <c r="A2810" s="28"/>
      <c r="B2810" s="1"/>
      <c r="C2810" s="29"/>
      <c r="D2810" s="27"/>
      <c r="E2810" s="27"/>
      <c r="F2810" s="27"/>
    </row>
    <row r="2811">
      <c r="A2811" s="28"/>
      <c r="B2811" s="1"/>
      <c r="C2811" s="29"/>
      <c r="D2811" s="27"/>
      <c r="E2811" s="27"/>
      <c r="F2811" s="27"/>
    </row>
    <row r="2812">
      <c r="A2812" s="28"/>
      <c r="B2812" s="1"/>
      <c r="C2812" s="29"/>
      <c r="D2812" s="27"/>
      <c r="E2812" s="27"/>
      <c r="F2812" s="27"/>
    </row>
    <row r="2813">
      <c r="A2813" s="28"/>
      <c r="B2813" s="1"/>
      <c r="C2813" s="29"/>
      <c r="D2813" s="27"/>
      <c r="E2813" s="27"/>
      <c r="F2813" s="27"/>
    </row>
    <row r="2814">
      <c r="A2814" s="28"/>
      <c r="B2814" s="1"/>
      <c r="C2814" s="29"/>
      <c r="D2814" s="27"/>
      <c r="E2814" s="27"/>
      <c r="F2814" s="27"/>
    </row>
    <row r="2815">
      <c r="A2815" s="28"/>
      <c r="B2815" s="1"/>
      <c r="C2815" s="29"/>
      <c r="D2815" s="27"/>
      <c r="E2815" s="27"/>
      <c r="F2815" s="27"/>
    </row>
    <row r="2816">
      <c r="A2816" s="28"/>
      <c r="B2816" s="1"/>
      <c r="C2816" s="29"/>
      <c r="D2816" s="27"/>
      <c r="E2816" s="27"/>
      <c r="F2816" s="27"/>
    </row>
    <row r="2817">
      <c r="A2817" s="28"/>
      <c r="B2817" s="1"/>
      <c r="C2817" s="29"/>
      <c r="D2817" s="27"/>
      <c r="E2817" s="27"/>
      <c r="F2817" s="27"/>
    </row>
    <row r="2818">
      <c r="A2818" s="28"/>
      <c r="B2818" s="1"/>
      <c r="C2818" s="29"/>
      <c r="D2818" s="27"/>
      <c r="E2818" s="27"/>
      <c r="F2818" s="27"/>
    </row>
    <row r="2819">
      <c r="A2819" s="28"/>
      <c r="B2819" s="1"/>
      <c r="C2819" s="29"/>
      <c r="D2819" s="27"/>
      <c r="E2819" s="27"/>
      <c r="F2819" s="27"/>
    </row>
    <row r="2820">
      <c r="A2820" s="28"/>
      <c r="B2820" s="1"/>
      <c r="C2820" s="29"/>
      <c r="D2820" s="27"/>
      <c r="E2820" s="27"/>
      <c r="F2820" s="27"/>
    </row>
    <row r="2821">
      <c r="A2821" s="28"/>
      <c r="B2821" s="1"/>
      <c r="C2821" s="29"/>
      <c r="D2821" s="27"/>
      <c r="E2821" s="27"/>
      <c r="F2821" s="27"/>
    </row>
    <row r="2822">
      <c r="A2822" s="28"/>
      <c r="B2822" s="1"/>
      <c r="C2822" s="29"/>
      <c r="D2822" s="27"/>
      <c r="E2822" s="27"/>
      <c r="F2822" s="27"/>
    </row>
    <row r="2823">
      <c r="A2823" s="28"/>
      <c r="B2823" s="1"/>
      <c r="C2823" s="29"/>
      <c r="D2823" s="27"/>
      <c r="E2823" s="27"/>
      <c r="F2823" s="27"/>
    </row>
    <row r="2824">
      <c r="A2824" s="28"/>
      <c r="B2824" s="1"/>
      <c r="C2824" s="29"/>
      <c r="D2824" s="27"/>
      <c r="E2824" s="27"/>
      <c r="F2824" s="27"/>
    </row>
    <row r="2825">
      <c r="A2825" s="28"/>
      <c r="B2825" s="1"/>
      <c r="C2825" s="29"/>
      <c r="D2825" s="27"/>
      <c r="E2825" s="27"/>
      <c r="F2825" s="27"/>
    </row>
    <row r="2826">
      <c r="A2826" s="28"/>
      <c r="B2826" s="1"/>
      <c r="C2826" s="29"/>
      <c r="D2826" s="27"/>
      <c r="E2826" s="27"/>
      <c r="F2826" s="27"/>
    </row>
    <row r="2827">
      <c r="A2827" s="28"/>
      <c r="B2827" s="1"/>
      <c r="C2827" s="29"/>
      <c r="D2827" s="27"/>
      <c r="E2827" s="27"/>
      <c r="F2827" s="27"/>
    </row>
    <row r="2828">
      <c r="A2828" s="28"/>
      <c r="B2828" s="1"/>
      <c r="C2828" s="29"/>
      <c r="D2828" s="27"/>
      <c r="E2828" s="27"/>
      <c r="F2828" s="27"/>
    </row>
    <row r="2829">
      <c r="A2829" s="28"/>
      <c r="B2829" s="1"/>
      <c r="C2829" s="29"/>
      <c r="D2829" s="27"/>
      <c r="E2829" s="27"/>
      <c r="F2829" s="27"/>
    </row>
    <row r="2830">
      <c r="A2830" s="28"/>
      <c r="B2830" s="1"/>
      <c r="C2830" s="29"/>
      <c r="D2830" s="27"/>
      <c r="E2830" s="27"/>
      <c r="F2830" s="27"/>
    </row>
    <row r="2831">
      <c r="A2831" s="28"/>
      <c r="B2831" s="1"/>
      <c r="C2831" s="29"/>
      <c r="D2831" s="27"/>
      <c r="E2831" s="27"/>
      <c r="F2831" s="27"/>
    </row>
    <row r="2832">
      <c r="A2832" s="28"/>
      <c r="B2832" s="1"/>
      <c r="C2832" s="29"/>
      <c r="D2832" s="27"/>
      <c r="E2832" s="27"/>
      <c r="F2832" s="27"/>
    </row>
    <row r="2833">
      <c r="A2833" s="28"/>
      <c r="B2833" s="1"/>
      <c r="C2833" s="29"/>
      <c r="D2833" s="27"/>
      <c r="E2833" s="27"/>
      <c r="F2833" s="27"/>
    </row>
    <row r="2834">
      <c r="A2834" s="28"/>
      <c r="B2834" s="1"/>
      <c r="C2834" s="29"/>
      <c r="D2834" s="27"/>
      <c r="E2834" s="27"/>
      <c r="F2834" s="27"/>
    </row>
    <row r="2835">
      <c r="A2835" s="28"/>
      <c r="B2835" s="1"/>
      <c r="C2835" s="29"/>
      <c r="D2835" s="27"/>
      <c r="E2835" s="27"/>
      <c r="F2835" s="27"/>
    </row>
    <row r="2836">
      <c r="A2836" s="28"/>
      <c r="B2836" s="1"/>
      <c r="C2836" s="29"/>
      <c r="D2836" s="27"/>
      <c r="E2836" s="27"/>
      <c r="F2836" s="27"/>
    </row>
    <row r="2837">
      <c r="A2837" s="28"/>
      <c r="B2837" s="1"/>
      <c r="C2837" s="29"/>
      <c r="D2837" s="27"/>
      <c r="E2837" s="27"/>
      <c r="F2837" s="27"/>
    </row>
    <row r="2838">
      <c r="A2838" s="28"/>
      <c r="B2838" s="1"/>
      <c r="C2838" s="29"/>
      <c r="D2838" s="27"/>
      <c r="E2838" s="27"/>
      <c r="F2838" s="27"/>
    </row>
    <row r="2839">
      <c r="A2839" s="28"/>
      <c r="B2839" s="1"/>
      <c r="C2839" s="29"/>
      <c r="D2839" s="27"/>
      <c r="E2839" s="27"/>
      <c r="F2839" s="27"/>
    </row>
    <row r="2840">
      <c r="A2840" s="28"/>
      <c r="B2840" s="1"/>
      <c r="C2840" s="29"/>
      <c r="D2840" s="27"/>
      <c r="E2840" s="27"/>
      <c r="F2840" s="27"/>
    </row>
    <row r="2841">
      <c r="A2841" s="28"/>
      <c r="B2841" s="1"/>
      <c r="C2841" s="29"/>
      <c r="D2841" s="27"/>
      <c r="E2841" s="27"/>
      <c r="F2841" s="27"/>
    </row>
    <row r="2842">
      <c r="A2842" s="28"/>
      <c r="B2842" s="1"/>
      <c r="C2842" s="29"/>
      <c r="D2842" s="27"/>
      <c r="E2842" s="27"/>
      <c r="F2842" s="27"/>
    </row>
    <row r="2843">
      <c r="A2843" s="28"/>
      <c r="B2843" s="1"/>
      <c r="C2843" s="29"/>
      <c r="D2843" s="27"/>
      <c r="E2843" s="27"/>
      <c r="F2843" s="27"/>
    </row>
    <row r="2844">
      <c r="A2844" s="28"/>
      <c r="B2844" s="1"/>
      <c r="C2844" s="29"/>
      <c r="D2844" s="27"/>
      <c r="E2844" s="27"/>
      <c r="F2844" s="27"/>
    </row>
    <row r="2845">
      <c r="A2845" s="28"/>
      <c r="B2845" s="1"/>
      <c r="C2845" s="29"/>
      <c r="D2845" s="27"/>
      <c r="E2845" s="27"/>
      <c r="F2845" s="27"/>
    </row>
    <row r="2846">
      <c r="A2846" s="28"/>
      <c r="B2846" s="1"/>
      <c r="C2846" s="29"/>
      <c r="D2846" s="27"/>
      <c r="E2846" s="27"/>
      <c r="F2846" s="27"/>
    </row>
    <row r="2847">
      <c r="A2847" s="28"/>
      <c r="B2847" s="1"/>
      <c r="C2847" s="29"/>
      <c r="D2847" s="27"/>
      <c r="E2847" s="27"/>
      <c r="F2847" s="27"/>
    </row>
    <row r="2848">
      <c r="A2848" s="28"/>
      <c r="B2848" s="1"/>
      <c r="C2848" s="29"/>
      <c r="D2848" s="27"/>
      <c r="E2848" s="27"/>
      <c r="F2848" s="27"/>
    </row>
    <row r="2849">
      <c r="A2849" s="28"/>
      <c r="B2849" s="1"/>
      <c r="C2849" s="29"/>
      <c r="D2849" s="27"/>
      <c r="E2849" s="27"/>
      <c r="F2849" s="27"/>
    </row>
    <row r="2850">
      <c r="A2850" s="28"/>
      <c r="B2850" s="1"/>
      <c r="C2850" s="29"/>
      <c r="D2850" s="27"/>
      <c r="E2850" s="27"/>
      <c r="F2850" s="27"/>
    </row>
    <row r="2851">
      <c r="A2851" s="28"/>
      <c r="B2851" s="1"/>
      <c r="C2851" s="29"/>
      <c r="D2851" s="27"/>
      <c r="E2851" s="27"/>
      <c r="F2851" s="27"/>
    </row>
    <row r="2852">
      <c r="A2852" s="28"/>
      <c r="B2852" s="1"/>
      <c r="C2852" s="29"/>
      <c r="D2852" s="27"/>
      <c r="E2852" s="27"/>
      <c r="F2852" s="27"/>
    </row>
    <row r="2853">
      <c r="A2853" s="28"/>
      <c r="B2853" s="1"/>
      <c r="C2853" s="29"/>
      <c r="D2853" s="27"/>
      <c r="E2853" s="27"/>
      <c r="F2853" s="27"/>
    </row>
    <row r="2854">
      <c r="A2854" s="28"/>
      <c r="B2854" s="1"/>
      <c r="C2854" s="29"/>
      <c r="D2854" s="27"/>
      <c r="E2854" s="27"/>
      <c r="F2854" s="27"/>
    </row>
    <row r="2855">
      <c r="A2855" s="28"/>
      <c r="B2855" s="1"/>
      <c r="C2855" s="29"/>
      <c r="D2855" s="27"/>
      <c r="E2855" s="27"/>
      <c r="F2855" s="27"/>
    </row>
    <row r="2856">
      <c r="A2856" s="28"/>
      <c r="B2856" s="1"/>
      <c r="C2856" s="29"/>
      <c r="D2856" s="27"/>
      <c r="E2856" s="27"/>
      <c r="F2856" s="27"/>
    </row>
    <row r="2857">
      <c r="A2857" s="28"/>
      <c r="B2857" s="1"/>
      <c r="C2857" s="29"/>
      <c r="D2857" s="27"/>
      <c r="E2857" s="27"/>
      <c r="F2857" s="27"/>
    </row>
    <row r="2858">
      <c r="A2858" s="28"/>
      <c r="B2858" s="1"/>
      <c r="C2858" s="29"/>
      <c r="D2858" s="27"/>
      <c r="E2858" s="27"/>
      <c r="F2858" s="27"/>
    </row>
    <row r="2859">
      <c r="A2859" s="28"/>
      <c r="B2859" s="1"/>
      <c r="C2859" s="29"/>
      <c r="D2859" s="27"/>
      <c r="E2859" s="27"/>
      <c r="F2859" s="27"/>
    </row>
    <row r="2860">
      <c r="A2860" s="28"/>
      <c r="B2860" s="1"/>
      <c r="C2860" s="29"/>
      <c r="D2860" s="27"/>
      <c r="E2860" s="27"/>
      <c r="F2860" s="27"/>
    </row>
    <row r="2861">
      <c r="A2861" s="28"/>
      <c r="B2861" s="1"/>
      <c r="C2861" s="29"/>
      <c r="D2861" s="27"/>
      <c r="E2861" s="27"/>
      <c r="F2861" s="27"/>
    </row>
    <row r="2862">
      <c r="A2862" s="28"/>
      <c r="B2862" s="1"/>
      <c r="C2862" s="29"/>
      <c r="D2862" s="27"/>
      <c r="E2862" s="27"/>
      <c r="F2862" s="27"/>
    </row>
    <row r="2863">
      <c r="A2863" s="28"/>
      <c r="B2863" s="1"/>
      <c r="C2863" s="29"/>
      <c r="D2863" s="27"/>
      <c r="E2863" s="27"/>
      <c r="F2863" s="27"/>
    </row>
    <row r="2864">
      <c r="A2864" s="28"/>
      <c r="B2864" s="1"/>
      <c r="C2864" s="29"/>
      <c r="D2864" s="27"/>
      <c r="E2864" s="27"/>
      <c r="F2864" s="27"/>
    </row>
    <row r="2865">
      <c r="A2865" s="28"/>
      <c r="B2865" s="1"/>
      <c r="C2865" s="29"/>
      <c r="D2865" s="27"/>
      <c r="E2865" s="27"/>
      <c r="F2865" s="27"/>
    </row>
    <row r="2866">
      <c r="A2866" s="28"/>
      <c r="B2866" s="1"/>
      <c r="C2866" s="29"/>
      <c r="D2866" s="27"/>
      <c r="E2866" s="27"/>
      <c r="F2866" s="27"/>
    </row>
    <row r="2867">
      <c r="A2867" s="28"/>
      <c r="B2867" s="1"/>
      <c r="C2867" s="29"/>
      <c r="D2867" s="27"/>
      <c r="E2867" s="27"/>
      <c r="F2867" s="27"/>
    </row>
    <row r="2868">
      <c r="A2868" s="28"/>
      <c r="B2868" s="1"/>
      <c r="C2868" s="29"/>
      <c r="D2868" s="27"/>
      <c r="E2868" s="27"/>
      <c r="F2868" s="27"/>
    </row>
    <row r="2869">
      <c r="A2869" s="28"/>
      <c r="B2869" s="1"/>
      <c r="C2869" s="29"/>
      <c r="D2869" s="27"/>
      <c r="E2869" s="27"/>
      <c r="F2869" s="27"/>
    </row>
    <row r="2870">
      <c r="A2870" s="28"/>
      <c r="B2870" s="1"/>
      <c r="C2870" s="29"/>
      <c r="D2870" s="27"/>
      <c r="E2870" s="27"/>
      <c r="F2870" s="27"/>
    </row>
    <row r="2871">
      <c r="A2871" s="28"/>
      <c r="B2871" s="1"/>
      <c r="C2871" s="29"/>
      <c r="D2871" s="27"/>
      <c r="E2871" s="27"/>
      <c r="F2871" s="27"/>
    </row>
    <row r="2872">
      <c r="A2872" s="28"/>
      <c r="B2872" s="1"/>
      <c r="C2872" s="29"/>
      <c r="D2872" s="27"/>
      <c r="E2872" s="27"/>
      <c r="F2872" s="27"/>
    </row>
    <row r="2873">
      <c r="A2873" s="28"/>
      <c r="B2873" s="1"/>
      <c r="C2873" s="29"/>
      <c r="D2873" s="27"/>
      <c r="E2873" s="27"/>
      <c r="F2873" s="27"/>
    </row>
    <row r="2874">
      <c r="A2874" s="28"/>
      <c r="B2874" s="1"/>
      <c r="C2874" s="29"/>
      <c r="D2874" s="27"/>
      <c r="E2874" s="27"/>
      <c r="F2874" s="27"/>
    </row>
    <row r="2875">
      <c r="A2875" s="28"/>
      <c r="B2875" s="1"/>
      <c r="C2875" s="29"/>
      <c r="D2875" s="27"/>
      <c r="E2875" s="27"/>
      <c r="F2875" s="27"/>
    </row>
    <row r="2876">
      <c r="A2876" s="28"/>
      <c r="B2876" s="1"/>
      <c r="C2876" s="29"/>
      <c r="D2876" s="27"/>
      <c r="E2876" s="27"/>
      <c r="F2876" s="27"/>
    </row>
    <row r="2877">
      <c r="A2877" s="28"/>
      <c r="B2877" s="1"/>
      <c r="C2877" s="29"/>
      <c r="D2877" s="27"/>
      <c r="E2877" s="27"/>
      <c r="F2877" s="27"/>
    </row>
    <row r="2878">
      <c r="A2878" s="28"/>
      <c r="B2878" s="1"/>
      <c r="C2878" s="29"/>
      <c r="D2878" s="27"/>
      <c r="E2878" s="27"/>
      <c r="F2878" s="27"/>
    </row>
    <row r="2879">
      <c r="A2879" s="28"/>
      <c r="B2879" s="1"/>
      <c r="C2879" s="29"/>
      <c r="D2879" s="27"/>
      <c r="E2879" s="27"/>
      <c r="F2879" s="27"/>
    </row>
    <row r="2880">
      <c r="A2880" s="28"/>
      <c r="B2880" s="1"/>
      <c r="C2880" s="29"/>
      <c r="D2880" s="27"/>
      <c r="E2880" s="27"/>
      <c r="F2880" s="27"/>
    </row>
    <row r="2881">
      <c r="A2881" s="28"/>
      <c r="B2881" s="1"/>
      <c r="C2881" s="29"/>
      <c r="D2881" s="27"/>
      <c r="E2881" s="27"/>
      <c r="F2881" s="27"/>
    </row>
    <row r="2882">
      <c r="A2882" s="28"/>
      <c r="B2882" s="1"/>
      <c r="C2882" s="29"/>
      <c r="D2882" s="27"/>
      <c r="E2882" s="27"/>
      <c r="F2882" s="27"/>
    </row>
    <row r="2883">
      <c r="A2883" s="28"/>
      <c r="B2883" s="1"/>
      <c r="C2883" s="29"/>
      <c r="D2883" s="27"/>
      <c r="E2883" s="27"/>
      <c r="F2883" s="27"/>
    </row>
    <row r="2884">
      <c r="A2884" s="28"/>
      <c r="B2884" s="1"/>
      <c r="C2884" s="29"/>
      <c r="D2884" s="27"/>
      <c r="E2884" s="27"/>
      <c r="F2884" s="27"/>
    </row>
    <row r="2885">
      <c r="A2885" s="28"/>
      <c r="B2885" s="1"/>
      <c r="C2885" s="29"/>
      <c r="D2885" s="27"/>
      <c r="E2885" s="27"/>
      <c r="F2885" s="27"/>
    </row>
    <row r="2886">
      <c r="A2886" s="28"/>
      <c r="B2886" s="1"/>
      <c r="C2886" s="29"/>
      <c r="D2886" s="27"/>
      <c r="E2886" s="27"/>
      <c r="F2886" s="27"/>
    </row>
    <row r="2887">
      <c r="A2887" s="28"/>
      <c r="B2887" s="1"/>
      <c r="C2887" s="29"/>
      <c r="D2887" s="27"/>
      <c r="E2887" s="27"/>
      <c r="F2887" s="27"/>
    </row>
    <row r="2888">
      <c r="A2888" s="28"/>
      <c r="B2888" s="1"/>
      <c r="C2888" s="29"/>
      <c r="D2888" s="27"/>
      <c r="E2888" s="27"/>
      <c r="F2888" s="27"/>
    </row>
    <row r="2889">
      <c r="A2889" s="28"/>
      <c r="B2889" s="1"/>
      <c r="C2889" s="29"/>
      <c r="D2889" s="27"/>
      <c r="E2889" s="27"/>
      <c r="F2889" s="27"/>
    </row>
    <row r="2890">
      <c r="A2890" s="28"/>
      <c r="B2890" s="1"/>
      <c r="C2890" s="29"/>
      <c r="D2890" s="27"/>
      <c r="E2890" s="27"/>
      <c r="F2890" s="27"/>
    </row>
    <row r="2891">
      <c r="A2891" s="28"/>
      <c r="B2891" s="1"/>
      <c r="C2891" s="29"/>
      <c r="D2891" s="27"/>
      <c r="E2891" s="27"/>
      <c r="F2891" s="27"/>
    </row>
    <row r="2892">
      <c r="A2892" s="28"/>
      <c r="B2892" s="1"/>
      <c r="C2892" s="29"/>
      <c r="D2892" s="27"/>
      <c r="E2892" s="27"/>
      <c r="F2892" s="27"/>
    </row>
    <row r="2893">
      <c r="A2893" s="28"/>
      <c r="B2893" s="1"/>
      <c r="C2893" s="29"/>
      <c r="D2893" s="27"/>
      <c r="E2893" s="27"/>
      <c r="F2893" s="27"/>
    </row>
    <row r="2894">
      <c r="A2894" s="28"/>
      <c r="B2894" s="1"/>
      <c r="C2894" s="29"/>
      <c r="D2894" s="27"/>
      <c r="E2894" s="27"/>
      <c r="F2894" s="27"/>
    </row>
    <row r="2895">
      <c r="A2895" s="28"/>
      <c r="B2895" s="1"/>
      <c r="C2895" s="29"/>
      <c r="D2895" s="27"/>
      <c r="E2895" s="27"/>
      <c r="F2895" s="27"/>
    </row>
    <row r="2896">
      <c r="A2896" s="28"/>
      <c r="B2896" s="1"/>
      <c r="C2896" s="29"/>
      <c r="D2896" s="27"/>
      <c r="E2896" s="27"/>
      <c r="F2896" s="27"/>
    </row>
    <row r="2897">
      <c r="A2897" s="28"/>
      <c r="B2897" s="1"/>
      <c r="C2897" s="29"/>
      <c r="D2897" s="27"/>
      <c r="E2897" s="27"/>
      <c r="F2897" s="27"/>
    </row>
    <row r="2898">
      <c r="A2898" s="28"/>
      <c r="B2898" s="1"/>
      <c r="C2898" s="29"/>
      <c r="D2898" s="27"/>
      <c r="E2898" s="27"/>
      <c r="F2898" s="27"/>
    </row>
    <row r="2899">
      <c r="A2899" s="28"/>
      <c r="B2899" s="1"/>
      <c r="C2899" s="29"/>
      <c r="D2899" s="27"/>
      <c r="E2899" s="27"/>
      <c r="F2899" s="27"/>
    </row>
    <row r="2900">
      <c r="A2900" s="28"/>
      <c r="B2900" s="1"/>
      <c r="C2900" s="29"/>
      <c r="D2900" s="27"/>
      <c r="E2900" s="27"/>
      <c r="F2900" s="27"/>
    </row>
    <row r="2901">
      <c r="A2901" s="28"/>
      <c r="B2901" s="1"/>
      <c r="C2901" s="29"/>
      <c r="D2901" s="27"/>
      <c r="E2901" s="27"/>
      <c r="F2901" s="27"/>
    </row>
    <row r="2902">
      <c r="A2902" s="28"/>
      <c r="B2902" s="1"/>
      <c r="C2902" s="29"/>
      <c r="D2902" s="27"/>
      <c r="E2902" s="27"/>
      <c r="F2902" s="27"/>
    </row>
    <row r="2903">
      <c r="A2903" s="28"/>
      <c r="B2903" s="1"/>
      <c r="C2903" s="29"/>
      <c r="D2903" s="27"/>
      <c r="E2903" s="27"/>
      <c r="F2903" s="27"/>
    </row>
    <row r="2904">
      <c r="A2904" s="28"/>
      <c r="B2904" s="1"/>
      <c r="C2904" s="29"/>
      <c r="D2904" s="27"/>
      <c r="E2904" s="27"/>
      <c r="F2904" s="27"/>
    </row>
    <row r="2905">
      <c r="A2905" s="28"/>
      <c r="B2905" s="1"/>
      <c r="C2905" s="29"/>
      <c r="D2905" s="27"/>
      <c r="E2905" s="27"/>
      <c r="F2905" s="27"/>
    </row>
    <row r="2906">
      <c r="A2906" s="28"/>
      <c r="B2906" s="1"/>
      <c r="C2906" s="29"/>
      <c r="D2906" s="27"/>
      <c r="E2906" s="27"/>
      <c r="F2906" s="27"/>
    </row>
    <row r="2907">
      <c r="A2907" s="28"/>
      <c r="B2907" s="1"/>
      <c r="C2907" s="29"/>
      <c r="D2907" s="27"/>
      <c r="E2907" s="27"/>
      <c r="F2907" s="27"/>
    </row>
    <row r="2908">
      <c r="A2908" s="28"/>
      <c r="B2908" s="1"/>
      <c r="C2908" s="29"/>
      <c r="D2908" s="27"/>
      <c r="E2908" s="27"/>
      <c r="F2908" s="27"/>
    </row>
    <row r="2909">
      <c r="A2909" s="28"/>
      <c r="B2909" s="1"/>
      <c r="C2909" s="29"/>
      <c r="D2909" s="27"/>
      <c r="E2909" s="27"/>
      <c r="F2909" s="27"/>
    </row>
    <row r="2910">
      <c r="A2910" s="28"/>
      <c r="B2910" s="1"/>
      <c r="C2910" s="29"/>
      <c r="D2910" s="27"/>
      <c r="E2910" s="27"/>
      <c r="F2910" s="27"/>
    </row>
    <row r="2911">
      <c r="A2911" s="28"/>
      <c r="B2911" s="1"/>
      <c r="C2911" s="29"/>
      <c r="D2911" s="27"/>
      <c r="E2911" s="27"/>
      <c r="F2911" s="27"/>
    </row>
    <row r="2912">
      <c r="A2912" s="28"/>
      <c r="B2912" s="1"/>
      <c r="C2912" s="29"/>
      <c r="D2912" s="27"/>
      <c r="E2912" s="27"/>
      <c r="F2912" s="27"/>
    </row>
    <row r="2913">
      <c r="A2913" s="28"/>
      <c r="B2913" s="1"/>
      <c r="C2913" s="29"/>
      <c r="D2913" s="27"/>
      <c r="E2913" s="27"/>
      <c r="F2913" s="27"/>
    </row>
    <row r="2914">
      <c r="A2914" s="28"/>
      <c r="B2914" s="1"/>
      <c r="C2914" s="29"/>
      <c r="D2914" s="27"/>
      <c r="E2914" s="27"/>
      <c r="F2914" s="27"/>
    </row>
    <row r="2915">
      <c r="A2915" s="28"/>
      <c r="B2915" s="1"/>
      <c r="C2915" s="29"/>
      <c r="D2915" s="27"/>
      <c r="E2915" s="27"/>
      <c r="F2915" s="27"/>
    </row>
    <row r="2916">
      <c r="A2916" s="28"/>
      <c r="B2916" s="1"/>
      <c r="C2916" s="29"/>
      <c r="D2916" s="27"/>
      <c r="E2916" s="27"/>
      <c r="F2916" s="27"/>
    </row>
    <row r="2917">
      <c r="A2917" s="28"/>
      <c r="B2917" s="1"/>
      <c r="C2917" s="29"/>
      <c r="D2917" s="27"/>
      <c r="E2917" s="27"/>
      <c r="F2917" s="27"/>
    </row>
    <row r="2918">
      <c r="A2918" s="28"/>
      <c r="B2918" s="1"/>
      <c r="C2918" s="29"/>
      <c r="D2918" s="27"/>
      <c r="E2918" s="27"/>
      <c r="F2918" s="27"/>
    </row>
    <row r="2919">
      <c r="A2919" s="28"/>
      <c r="B2919" s="1"/>
      <c r="C2919" s="29"/>
      <c r="D2919" s="27"/>
      <c r="E2919" s="27"/>
      <c r="F2919" s="27"/>
    </row>
    <row r="2920">
      <c r="A2920" s="28"/>
      <c r="B2920" s="1"/>
      <c r="C2920" s="29"/>
      <c r="D2920" s="27"/>
      <c r="E2920" s="27"/>
      <c r="F2920" s="27"/>
    </row>
    <row r="2921">
      <c r="A2921" s="28"/>
      <c r="B2921" s="1"/>
      <c r="C2921" s="29"/>
      <c r="D2921" s="27"/>
      <c r="E2921" s="27"/>
      <c r="F2921" s="27"/>
    </row>
    <row r="2922">
      <c r="A2922" s="28"/>
      <c r="B2922" s="1"/>
      <c r="C2922" s="29"/>
      <c r="D2922" s="27"/>
      <c r="E2922" s="27"/>
      <c r="F2922" s="27"/>
    </row>
    <row r="2923">
      <c r="A2923" s="28"/>
      <c r="B2923" s="1"/>
      <c r="C2923" s="29"/>
      <c r="D2923" s="27"/>
      <c r="E2923" s="27"/>
      <c r="F2923" s="27"/>
    </row>
    <row r="2924">
      <c r="A2924" s="28"/>
      <c r="B2924" s="1"/>
      <c r="C2924" s="29"/>
      <c r="D2924" s="27"/>
      <c r="E2924" s="27"/>
      <c r="F2924" s="27"/>
    </row>
    <row r="2925">
      <c r="A2925" s="28"/>
      <c r="B2925" s="1"/>
      <c r="C2925" s="29"/>
      <c r="D2925" s="27"/>
      <c r="E2925" s="27"/>
      <c r="F2925" s="27"/>
    </row>
    <row r="2926">
      <c r="A2926" s="28"/>
      <c r="B2926" s="1"/>
      <c r="C2926" s="29"/>
      <c r="D2926" s="27"/>
      <c r="E2926" s="27"/>
      <c r="F2926" s="27"/>
    </row>
    <row r="2927">
      <c r="A2927" s="28"/>
      <c r="B2927" s="1"/>
      <c r="C2927" s="29"/>
      <c r="D2927" s="27"/>
      <c r="E2927" s="27"/>
      <c r="F2927" s="27"/>
    </row>
    <row r="2928">
      <c r="A2928" s="28"/>
      <c r="B2928" s="1"/>
      <c r="C2928" s="29"/>
      <c r="D2928" s="27"/>
      <c r="E2928" s="27"/>
      <c r="F2928" s="27"/>
    </row>
    <row r="2929">
      <c r="A2929" s="28"/>
      <c r="B2929" s="1"/>
      <c r="C2929" s="29"/>
      <c r="D2929" s="27"/>
      <c r="E2929" s="27"/>
      <c r="F2929" s="27"/>
    </row>
    <row r="2930">
      <c r="A2930" s="28"/>
      <c r="B2930" s="1"/>
      <c r="C2930" s="29"/>
      <c r="D2930" s="27"/>
      <c r="E2930" s="27"/>
      <c r="F2930" s="27"/>
    </row>
    <row r="2931">
      <c r="A2931" s="28"/>
      <c r="B2931" s="1"/>
      <c r="C2931" s="29"/>
      <c r="D2931" s="27"/>
      <c r="E2931" s="27"/>
      <c r="F2931" s="27"/>
    </row>
    <row r="2932">
      <c r="A2932" s="28"/>
      <c r="B2932" s="1"/>
      <c r="C2932" s="29"/>
      <c r="D2932" s="27"/>
      <c r="E2932" s="27"/>
      <c r="F2932" s="27"/>
    </row>
    <row r="2933">
      <c r="A2933" s="28"/>
      <c r="B2933" s="1"/>
      <c r="C2933" s="29"/>
      <c r="D2933" s="27"/>
      <c r="E2933" s="27"/>
      <c r="F2933" s="27"/>
    </row>
    <row r="2934">
      <c r="A2934" s="28"/>
      <c r="B2934" s="1"/>
      <c r="C2934" s="29"/>
      <c r="D2934" s="27"/>
      <c r="E2934" s="27"/>
      <c r="F2934" s="27"/>
    </row>
    <row r="2935">
      <c r="A2935" s="28"/>
      <c r="B2935" s="1"/>
      <c r="C2935" s="29"/>
      <c r="D2935" s="27"/>
      <c r="E2935" s="27"/>
      <c r="F2935" s="27"/>
    </row>
    <row r="2936">
      <c r="A2936" s="28"/>
      <c r="B2936" s="1"/>
      <c r="C2936" s="29"/>
      <c r="D2936" s="27"/>
      <c r="E2936" s="27"/>
      <c r="F2936" s="27"/>
    </row>
    <row r="2937">
      <c r="A2937" s="28"/>
      <c r="B2937" s="1"/>
      <c r="C2937" s="29"/>
      <c r="D2937" s="27"/>
      <c r="E2937" s="27"/>
      <c r="F2937" s="27"/>
    </row>
    <row r="2938">
      <c r="A2938" s="28"/>
      <c r="B2938" s="1"/>
      <c r="C2938" s="29"/>
      <c r="D2938" s="27"/>
      <c r="E2938" s="27"/>
      <c r="F2938" s="27"/>
    </row>
    <row r="2939">
      <c r="A2939" s="28"/>
      <c r="B2939" s="1"/>
      <c r="C2939" s="29"/>
      <c r="D2939" s="27"/>
      <c r="E2939" s="27"/>
      <c r="F2939" s="27"/>
    </row>
    <row r="2940">
      <c r="A2940" s="28"/>
      <c r="B2940" s="1"/>
      <c r="C2940" s="29"/>
      <c r="D2940" s="27"/>
      <c r="E2940" s="27"/>
      <c r="F2940" s="27"/>
    </row>
    <row r="2941">
      <c r="A2941" s="28"/>
      <c r="B2941" s="1"/>
      <c r="C2941" s="29"/>
      <c r="D2941" s="27"/>
      <c r="E2941" s="27"/>
      <c r="F2941" s="27"/>
    </row>
    <row r="2942">
      <c r="A2942" s="28"/>
      <c r="B2942" s="1"/>
      <c r="C2942" s="29"/>
      <c r="D2942" s="27"/>
      <c r="E2942" s="27"/>
      <c r="F2942" s="27"/>
    </row>
    <row r="2943">
      <c r="A2943" s="28"/>
      <c r="B2943" s="1"/>
      <c r="C2943" s="29"/>
      <c r="D2943" s="27"/>
      <c r="E2943" s="27"/>
      <c r="F2943" s="27"/>
    </row>
    <row r="2944">
      <c r="A2944" s="28"/>
      <c r="B2944" s="1"/>
      <c r="C2944" s="29"/>
      <c r="D2944" s="27"/>
      <c r="E2944" s="27"/>
      <c r="F2944" s="27"/>
    </row>
    <row r="2945">
      <c r="A2945" s="28"/>
      <c r="B2945" s="1"/>
      <c r="C2945" s="29"/>
      <c r="D2945" s="27"/>
      <c r="E2945" s="27"/>
      <c r="F2945" s="27"/>
    </row>
    <row r="2946">
      <c r="A2946" s="28"/>
      <c r="B2946" s="1"/>
      <c r="C2946" s="29"/>
      <c r="D2946" s="27"/>
      <c r="E2946" s="27"/>
      <c r="F2946" s="27"/>
    </row>
    <row r="2947">
      <c r="A2947" s="28"/>
      <c r="B2947" s="1"/>
      <c r="C2947" s="29"/>
      <c r="D2947" s="27"/>
      <c r="E2947" s="27"/>
      <c r="F2947" s="27"/>
    </row>
    <row r="2948">
      <c r="A2948" s="28"/>
      <c r="B2948" s="1"/>
      <c r="C2948" s="29"/>
      <c r="D2948" s="27"/>
      <c r="E2948" s="27"/>
      <c r="F2948" s="27"/>
    </row>
    <row r="2949">
      <c r="A2949" s="28"/>
      <c r="B2949" s="1"/>
      <c r="C2949" s="29"/>
      <c r="D2949" s="27"/>
      <c r="E2949" s="27"/>
      <c r="F2949" s="27"/>
    </row>
    <row r="2950">
      <c r="A2950" s="28"/>
      <c r="B2950" s="1"/>
      <c r="C2950" s="29"/>
      <c r="D2950" s="27"/>
      <c r="E2950" s="27"/>
      <c r="F2950" s="27"/>
    </row>
    <row r="2951">
      <c r="A2951" s="28"/>
      <c r="B2951" s="1"/>
      <c r="C2951" s="29"/>
      <c r="D2951" s="27"/>
      <c r="E2951" s="27"/>
      <c r="F2951" s="27"/>
    </row>
    <row r="2952">
      <c r="A2952" s="28"/>
      <c r="B2952" s="1"/>
      <c r="C2952" s="29"/>
      <c r="D2952" s="27"/>
      <c r="E2952" s="27"/>
      <c r="F2952" s="27"/>
    </row>
    <row r="2953">
      <c r="A2953" s="28"/>
      <c r="B2953" s="1"/>
      <c r="C2953" s="29"/>
      <c r="D2953" s="27"/>
      <c r="E2953" s="27"/>
      <c r="F2953" s="27"/>
    </row>
    <row r="2954">
      <c r="A2954" s="28"/>
      <c r="B2954" s="1"/>
      <c r="C2954" s="29"/>
      <c r="D2954" s="27"/>
      <c r="E2954" s="27"/>
      <c r="F2954" s="27"/>
    </row>
    <row r="2955">
      <c r="A2955" s="28"/>
      <c r="B2955" s="1"/>
      <c r="C2955" s="29"/>
      <c r="D2955" s="27"/>
      <c r="E2955" s="27"/>
      <c r="F2955" s="27"/>
    </row>
    <row r="2956">
      <c r="A2956" s="28"/>
      <c r="B2956" s="1"/>
      <c r="C2956" s="29"/>
      <c r="D2956" s="27"/>
      <c r="E2956" s="27"/>
      <c r="F2956" s="27"/>
    </row>
    <row r="2957">
      <c r="A2957" s="28"/>
      <c r="B2957" s="1"/>
      <c r="C2957" s="29"/>
      <c r="D2957" s="27"/>
      <c r="E2957" s="27"/>
      <c r="F2957" s="27"/>
    </row>
    <row r="2958">
      <c r="A2958" s="28"/>
      <c r="B2958" s="1"/>
      <c r="C2958" s="29"/>
      <c r="D2958" s="27"/>
      <c r="E2958" s="27"/>
      <c r="F2958" s="27"/>
    </row>
    <row r="2959">
      <c r="A2959" s="28"/>
      <c r="B2959" s="1"/>
      <c r="C2959" s="29"/>
      <c r="D2959" s="27"/>
      <c r="E2959" s="27"/>
      <c r="F2959" s="27"/>
    </row>
    <row r="2960">
      <c r="A2960" s="28"/>
      <c r="B2960" s="1"/>
      <c r="C2960" s="29"/>
      <c r="D2960" s="27"/>
      <c r="E2960" s="27"/>
      <c r="F2960" s="27"/>
    </row>
    <row r="2961">
      <c r="A2961" s="28"/>
      <c r="B2961" s="1"/>
      <c r="C2961" s="29"/>
      <c r="D2961" s="27"/>
      <c r="E2961" s="27"/>
      <c r="F2961" s="27"/>
    </row>
    <row r="2962">
      <c r="A2962" s="28"/>
      <c r="B2962" s="1"/>
      <c r="C2962" s="29"/>
      <c r="D2962" s="27"/>
      <c r="E2962" s="27"/>
      <c r="F2962" s="27"/>
    </row>
    <row r="2963">
      <c r="A2963" s="28"/>
      <c r="B2963" s="1"/>
      <c r="C2963" s="29"/>
      <c r="D2963" s="27"/>
      <c r="E2963" s="27"/>
      <c r="F2963" s="27"/>
    </row>
    <row r="2964">
      <c r="A2964" s="28"/>
      <c r="B2964" s="1"/>
      <c r="C2964" s="29"/>
      <c r="D2964" s="27"/>
      <c r="E2964" s="27"/>
      <c r="F2964" s="27"/>
    </row>
    <row r="2965">
      <c r="A2965" s="28"/>
      <c r="B2965" s="1"/>
      <c r="C2965" s="29"/>
      <c r="D2965" s="27"/>
      <c r="E2965" s="27"/>
      <c r="F2965" s="27"/>
    </row>
    <row r="2966">
      <c r="A2966" s="28"/>
      <c r="B2966" s="1"/>
      <c r="C2966" s="29"/>
      <c r="D2966" s="27"/>
      <c r="E2966" s="27"/>
      <c r="F2966" s="27"/>
    </row>
    <row r="2967">
      <c r="A2967" s="28"/>
      <c r="B2967" s="1"/>
      <c r="C2967" s="29"/>
      <c r="D2967" s="27"/>
      <c r="E2967" s="27"/>
      <c r="F2967" s="27"/>
    </row>
    <row r="2968">
      <c r="A2968" s="28"/>
      <c r="B2968" s="1"/>
      <c r="C2968" s="29"/>
      <c r="D2968" s="27"/>
      <c r="E2968" s="27"/>
      <c r="F2968" s="27"/>
    </row>
    <row r="2969">
      <c r="A2969" s="28"/>
      <c r="B2969" s="1"/>
      <c r="C2969" s="29"/>
      <c r="D2969" s="27"/>
      <c r="E2969" s="27"/>
      <c r="F2969" s="27"/>
    </row>
    <row r="2970">
      <c r="A2970" s="28"/>
      <c r="B2970" s="1"/>
      <c r="C2970" s="29"/>
      <c r="D2970" s="27"/>
      <c r="E2970" s="27"/>
      <c r="F2970" s="27"/>
    </row>
    <row r="2971">
      <c r="A2971" s="28"/>
      <c r="B2971" s="1"/>
      <c r="C2971" s="29"/>
      <c r="D2971" s="27"/>
      <c r="E2971" s="27"/>
      <c r="F2971" s="27"/>
    </row>
    <row r="2972">
      <c r="A2972" s="28"/>
      <c r="B2972" s="1"/>
      <c r="C2972" s="29"/>
      <c r="D2972" s="27"/>
      <c r="E2972" s="27"/>
      <c r="F2972" s="27"/>
    </row>
    <row r="2973">
      <c r="A2973" s="28"/>
      <c r="B2973" s="1"/>
      <c r="C2973" s="29"/>
      <c r="D2973" s="27"/>
      <c r="E2973" s="27"/>
      <c r="F2973" s="27"/>
    </row>
    <row r="2974">
      <c r="A2974" s="28"/>
      <c r="B2974" s="1"/>
      <c r="C2974" s="29"/>
      <c r="D2974" s="27"/>
      <c r="E2974" s="27"/>
      <c r="F2974" s="27"/>
    </row>
    <row r="2975">
      <c r="A2975" s="28"/>
      <c r="B2975" s="1"/>
      <c r="C2975" s="29"/>
      <c r="D2975" s="27"/>
      <c r="E2975" s="27"/>
      <c r="F2975" s="27"/>
    </row>
    <row r="2976">
      <c r="A2976" s="28"/>
      <c r="B2976" s="1"/>
      <c r="C2976" s="29"/>
      <c r="D2976" s="27"/>
      <c r="E2976" s="27"/>
      <c r="F2976" s="27"/>
    </row>
    <row r="2977">
      <c r="A2977" s="28"/>
      <c r="B2977" s="1"/>
      <c r="C2977" s="29"/>
      <c r="D2977" s="27"/>
      <c r="E2977" s="27"/>
      <c r="F2977" s="27"/>
    </row>
    <row r="2978">
      <c r="A2978" s="28"/>
      <c r="B2978" s="1"/>
      <c r="C2978" s="29"/>
      <c r="D2978" s="27"/>
      <c r="E2978" s="27"/>
      <c r="F2978" s="27"/>
    </row>
    <row r="2979">
      <c r="A2979" s="28"/>
      <c r="B2979" s="1"/>
      <c r="C2979" s="29"/>
      <c r="D2979" s="27"/>
      <c r="E2979" s="27"/>
      <c r="F2979" s="27"/>
    </row>
    <row r="2980">
      <c r="A2980" s="28"/>
      <c r="B2980" s="1"/>
      <c r="C2980" s="29"/>
      <c r="D2980" s="27"/>
      <c r="E2980" s="27"/>
      <c r="F2980" s="27"/>
    </row>
    <row r="2981">
      <c r="A2981" s="28"/>
      <c r="B2981" s="1"/>
      <c r="C2981" s="29"/>
      <c r="D2981" s="27"/>
      <c r="E2981" s="27"/>
      <c r="F2981" s="27"/>
    </row>
    <row r="2982">
      <c r="A2982" s="28"/>
      <c r="B2982" s="1"/>
      <c r="C2982" s="29"/>
      <c r="D2982" s="27"/>
      <c r="E2982" s="27"/>
      <c r="F2982" s="27"/>
    </row>
    <row r="2983">
      <c r="A2983" s="28"/>
      <c r="B2983" s="1"/>
      <c r="C2983" s="29"/>
      <c r="D2983" s="27"/>
      <c r="E2983" s="27"/>
      <c r="F2983" s="27"/>
    </row>
    <row r="2984">
      <c r="A2984" s="28"/>
      <c r="B2984" s="1"/>
      <c r="C2984" s="29"/>
      <c r="D2984" s="27"/>
      <c r="E2984" s="27"/>
      <c r="F2984" s="27"/>
    </row>
    <row r="2985">
      <c r="A2985" s="28"/>
      <c r="B2985" s="1"/>
      <c r="C2985" s="29"/>
      <c r="D2985" s="27"/>
      <c r="E2985" s="27"/>
      <c r="F2985" s="27"/>
    </row>
    <row r="2986">
      <c r="A2986" s="28"/>
      <c r="B2986" s="1"/>
      <c r="C2986" s="29"/>
      <c r="D2986" s="27"/>
      <c r="E2986" s="27"/>
      <c r="F2986" s="27"/>
    </row>
    <row r="2987">
      <c r="A2987" s="28"/>
      <c r="B2987" s="1"/>
      <c r="C2987" s="29"/>
      <c r="D2987" s="27"/>
      <c r="E2987" s="27"/>
      <c r="F2987" s="27"/>
    </row>
    <row r="2988">
      <c r="A2988" s="28"/>
      <c r="B2988" s="1"/>
      <c r="C2988" s="29"/>
      <c r="D2988" s="27"/>
      <c r="E2988" s="27"/>
      <c r="F2988" s="27"/>
    </row>
    <row r="2989">
      <c r="A2989" s="28"/>
      <c r="B2989" s="1"/>
      <c r="C2989" s="29"/>
      <c r="D2989" s="27"/>
      <c r="E2989" s="27"/>
      <c r="F2989" s="27"/>
    </row>
    <row r="2990">
      <c r="A2990" s="28"/>
      <c r="B2990" s="1"/>
      <c r="C2990" s="29"/>
      <c r="D2990" s="27"/>
      <c r="E2990" s="27"/>
      <c r="F2990" s="27"/>
    </row>
    <row r="2991">
      <c r="A2991" s="28"/>
      <c r="B2991" s="1"/>
      <c r="C2991" s="29"/>
      <c r="D2991" s="27"/>
      <c r="E2991" s="27"/>
      <c r="F2991" s="27"/>
    </row>
    <row r="2992">
      <c r="A2992" s="28"/>
      <c r="B2992" s="1"/>
      <c r="C2992" s="29"/>
      <c r="D2992" s="27"/>
      <c r="E2992" s="27"/>
      <c r="F2992" s="27"/>
    </row>
    <row r="2993">
      <c r="A2993" s="28"/>
      <c r="B2993" s="1"/>
      <c r="C2993" s="29"/>
      <c r="D2993" s="27"/>
      <c r="E2993" s="27"/>
      <c r="F2993" s="27"/>
    </row>
    <row r="2994">
      <c r="A2994" s="28"/>
      <c r="B2994" s="1"/>
      <c r="C2994" s="29"/>
      <c r="D2994" s="27"/>
      <c r="E2994" s="27"/>
      <c r="F2994" s="27"/>
    </row>
    <row r="2995">
      <c r="A2995" s="28"/>
      <c r="B2995" s="1"/>
      <c r="C2995" s="29"/>
      <c r="D2995" s="27"/>
      <c r="E2995" s="27"/>
      <c r="F2995" s="27"/>
    </row>
    <row r="2996">
      <c r="A2996" s="28"/>
      <c r="B2996" s="1"/>
      <c r="C2996" s="29"/>
      <c r="D2996" s="27"/>
      <c r="E2996" s="27"/>
      <c r="F2996" s="27"/>
    </row>
    <row r="2997">
      <c r="A2997" s="28"/>
      <c r="B2997" s="1"/>
      <c r="C2997" s="29"/>
      <c r="D2997" s="27"/>
      <c r="E2997" s="27"/>
      <c r="F2997" s="27"/>
    </row>
    <row r="2998">
      <c r="A2998" s="28"/>
      <c r="B2998" s="1"/>
      <c r="C2998" s="29"/>
      <c r="D2998" s="27"/>
      <c r="E2998" s="27"/>
      <c r="F2998" s="27"/>
    </row>
    <row r="2999">
      <c r="A2999" s="28"/>
      <c r="B2999" s="1"/>
      <c r="C2999" s="29"/>
      <c r="D2999" s="27"/>
      <c r="E2999" s="27"/>
      <c r="F2999" s="27"/>
    </row>
    <row r="3000">
      <c r="A3000" s="28"/>
      <c r="B3000" s="1"/>
      <c r="C3000" s="29"/>
      <c r="D3000" s="27"/>
      <c r="E3000" s="27"/>
      <c r="F3000" s="27"/>
    </row>
    <row r="3001">
      <c r="A3001" s="28"/>
      <c r="B3001" s="1"/>
      <c r="C3001" s="29"/>
      <c r="D3001" s="27"/>
      <c r="E3001" s="27"/>
      <c r="F3001" s="27"/>
    </row>
    <row r="3002">
      <c r="A3002" s="28"/>
      <c r="B3002" s="1"/>
      <c r="C3002" s="29"/>
      <c r="D3002" s="27"/>
      <c r="E3002" s="27"/>
      <c r="F3002" s="27"/>
    </row>
    <row r="3003">
      <c r="A3003" s="28"/>
      <c r="B3003" s="1"/>
      <c r="C3003" s="29"/>
      <c r="D3003" s="27"/>
      <c r="E3003" s="27"/>
      <c r="F3003" s="27"/>
    </row>
    <row r="3004">
      <c r="A3004" s="28"/>
      <c r="B3004" s="1"/>
      <c r="C3004" s="29"/>
      <c r="D3004" s="27"/>
      <c r="E3004" s="27"/>
      <c r="F3004" s="27"/>
    </row>
    <row r="3005">
      <c r="A3005" s="28"/>
      <c r="B3005" s="1"/>
      <c r="C3005" s="29"/>
      <c r="D3005" s="27"/>
      <c r="E3005" s="27"/>
      <c r="F3005" s="27"/>
    </row>
    <row r="3006">
      <c r="A3006" s="28"/>
      <c r="B3006" s="1"/>
      <c r="C3006" s="29"/>
      <c r="D3006" s="27"/>
      <c r="E3006" s="27"/>
      <c r="F3006" s="27"/>
    </row>
    <row r="3007">
      <c r="A3007" s="28"/>
      <c r="B3007" s="1"/>
      <c r="C3007" s="29"/>
      <c r="D3007" s="27"/>
      <c r="E3007" s="27"/>
      <c r="F3007" s="27"/>
    </row>
    <row r="3008">
      <c r="A3008" s="28"/>
      <c r="B3008" s="1"/>
      <c r="C3008" s="29"/>
      <c r="D3008" s="27"/>
      <c r="E3008" s="27"/>
      <c r="F3008" s="27"/>
    </row>
    <row r="3009">
      <c r="A3009" s="28"/>
      <c r="B3009" s="1"/>
      <c r="C3009" s="29"/>
      <c r="D3009" s="27"/>
      <c r="E3009" s="27"/>
      <c r="F3009" s="27"/>
    </row>
    <row r="3010">
      <c r="A3010" s="28"/>
      <c r="B3010" s="1"/>
      <c r="C3010" s="29"/>
      <c r="D3010" s="27"/>
      <c r="E3010" s="27"/>
      <c r="F3010" s="27"/>
    </row>
    <row r="3011">
      <c r="A3011" s="28"/>
      <c r="B3011" s="1"/>
      <c r="C3011" s="29"/>
      <c r="D3011" s="27"/>
      <c r="E3011" s="27"/>
      <c r="F3011" s="27"/>
    </row>
    <row r="3012">
      <c r="A3012" s="28"/>
      <c r="B3012" s="1"/>
      <c r="C3012" s="29"/>
      <c r="D3012" s="27"/>
      <c r="E3012" s="27"/>
      <c r="F3012" s="27"/>
    </row>
    <row r="3013">
      <c r="A3013" s="28"/>
      <c r="B3013" s="1"/>
      <c r="C3013" s="29"/>
      <c r="D3013" s="27"/>
      <c r="E3013" s="27"/>
      <c r="F3013" s="27"/>
    </row>
    <row r="3014">
      <c r="A3014" s="28"/>
      <c r="B3014" s="1"/>
      <c r="C3014" s="29"/>
      <c r="D3014" s="27"/>
      <c r="E3014" s="27"/>
      <c r="F3014" s="27"/>
    </row>
    <row r="3015">
      <c r="A3015" s="28"/>
      <c r="B3015" s="1"/>
      <c r="C3015" s="29"/>
      <c r="D3015" s="27"/>
      <c r="E3015" s="27"/>
      <c r="F3015" s="27"/>
    </row>
    <row r="3016">
      <c r="A3016" s="28"/>
      <c r="B3016" s="1"/>
      <c r="C3016" s="29"/>
      <c r="D3016" s="27"/>
      <c r="E3016" s="27"/>
      <c r="F3016" s="27"/>
    </row>
    <row r="3017">
      <c r="A3017" s="28"/>
      <c r="B3017" s="1"/>
      <c r="C3017" s="29"/>
      <c r="D3017" s="27"/>
      <c r="E3017" s="27"/>
      <c r="F3017" s="27"/>
    </row>
    <row r="3018">
      <c r="A3018" s="28"/>
      <c r="B3018" s="1"/>
      <c r="C3018" s="29"/>
      <c r="D3018" s="27"/>
      <c r="E3018" s="27"/>
      <c r="F3018" s="27"/>
    </row>
    <row r="3019">
      <c r="A3019" s="28"/>
      <c r="B3019" s="1"/>
      <c r="C3019" s="29"/>
      <c r="D3019" s="27"/>
      <c r="E3019" s="27"/>
      <c r="F3019" s="27"/>
    </row>
    <row r="3020">
      <c r="A3020" s="28"/>
      <c r="B3020" s="1"/>
      <c r="C3020" s="29"/>
      <c r="D3020" s="27"/>
      <c r="E3020" s="27"/>
      <c r="F3020" s="27"/>
    </row>
    <row r="3021">
      <c r="A3021" s="28"/>
      <c r="B3021" s="1"/>
      <c r="C3021" s="29"/>
      <c r="D3021" s="27"/>
      <c r="E3021" s="27"/>
      <c r="F3021" s="27"/>
    </row>
    <row r="3022">
      <c r="A3022" s="28"/>
      <c r="B3022" s="1"/>
      <c r="C3022" s="29"/>
      <c r="D3022" s="27"/>
      <c r="E3022" s="27"/>
      <c r="F3022" s="27"/>
    </row>
    <row r="3023">
      <c r="A3023" s="28"/>
      <c r="B3023" s="1"/>
      <c r="C3023" s="29"/>
      <c r="D3023" s="27"/>
      <c r="E3023" s="27"/>
      <c r="F3023" s="27"/>
    </row>
    <row r="3024">
      <c r="A3024" s="28"/>
      <c r="B3024" s="1"/>
      <c r="C3024" s="29"/>
      <c r="D3024" s="27"/>
      <c r="E3024" s="27"/>
      <c r="F3024" s="27"/>
    </row>
    <row r="3025">
      <c r="A3025" s="28"/>
      <c r="B3025" s="1"/>
      <c r="C3025" s="29"/>
      <c r="D3025" s="27"/>
      <c r="E3025" s="27"/>
      <c r="F3025" s="27"/>
    </row>
    <row r="3026">
      <c r="A3026" s="28"/>
      <c r="B3026" s="1"/>
      <c r="C3026" s="29"/>
      <c r="D3026" s="27"/>
      <c r="E3026" s="27"/>
      <c r="F3026" s="27"/>
    </row>
    <row r="3027">
      <c r="A3027" s="28"/>
      <c r="B3027" s="1"/>
      <c r="C3027" s="29"/>
      <c r="D3027" s="27"/>
      <c r="E3027" s="27"/>
      <c r="F3027" s="27"/>
    </row>
    <row r="3028">
      <c r="A3028" s="28"/>
      <c r="B3028" s="1"/>
      <c r="C3028" s="29"/>
      <c r="D3028" s="27"/>
      <c r="E3028" s="27"/>
      <c r="F3028" s="27"/>
    </row>
    <row r="3029">
      <c r="A3029" s="28"/>
      <c r="B3029" s="1"/>
      <c r="C3029" s="29"/>
      <c r="D3029" s="27"/>
      <c r="E3029" s="27"/>
      <c r="F3029" s="27"/>
    </row>
    <row r="3030">
      <c r="A3030" s="28"/>
      <c r="B3030" s="1"/>
      <c r="C3030" s="29"/>
      <c r="D3030" s="27"/>
      <c r="E3030" s="27"/>
      <c r="F3030" s="27"/>
    </row>
    <row r="3031">
      <c r="A3031" s="28"/>
      <c r="B3031" s="1"/>
      <c r="C3031" s="29"/>
      <c r="D3031" s="27"/>
      <c r="E3031" s="27"/>
      <c r="F3031" s="27"/>
    </row>
    <row r="3032">
      <c r="A3032" s="28"/>
      <c r="B3032" s="1"/>
      <c r="C3032" s="29"/>
      <c r="D3032" s="27"/>
      <c r="E3032" s="27"/>
      <c r="F3032" s="27"/>
    </row>
    <row r="3033">
      <c r="A3033" s="28"/>
      <c r="B3033" s="1"/>
      <c r="C3033" s="29"/>
      <c r="D3033" s="27"/>
      <c r="E3033" s="27"/>
      <c r="F3033" s="27"/>
    </row>
    <row r="3034">
      <c r="A3034" s="28"/>
      <c r="B3034" s="1"/>
      <c r="C3034" s="29"/>
      <c r="D3034" s="27"/>
      <c r="E3034" s="27"/>
      <c r="F3034" s="27"/>
    </row>
    <row r="3035">
      <c r="A3035" s="28"/>
      <c r="B3035" s="1"/>
      <c r="C3035" s="29"/>
      <c r="D3035" s="27"/>
      <c r="E3035" s="27"/>
      <c r="F3035" s="27"/>
    </row>
    <row r="3036">
      <c r="A3036" s="28"/>
      <c r="B3036" s="1"/>
      <c r="C3036" s="29"/>
      <c r="D3036" s="27"/>
      <c r="E3036" s="27"/>
      <c r="F3036" s="27"/>
    </row>
    <row r="3037">
      <c r="A3037" s="28"/>
      <c r="B3037" s="1"/>
      <c r="C3037" s="29"/>
      <c r="D3037" s="27"/>
      <c r="E3037" s="27"/>
      <c r="F3037" s="27"/>
    </row>
    <row r="3038">
      <c r="A3038" s="28"/>
      <c r="B3038" s="1"/>
      <c r="C3038" s="29"/>
      <c r="D3038" s="27"/>
      <c r="E3038" s="27"/>
      <c r="F3038" s="27"/>
    </row>
    <row r="3039">
      <c r="A3039" s="28"/>
      <c r="B3039" s="1"/>
      <c r="C3039" s="29"/>
      <c r="D3039" s="27"/>
      <c r="E3039" s="27"/>
      <c r="F3039" s="27"/>
    </row>
    <row r="3040">
      <c r="A3040" s="28"/>
      <c r="B3040" s="1"/>
      <c r="C3040" s="29"/>
      <c r="D3040" s="27"/>
      <c r="E3040" s="27"/>
      <c r="F3040" s="27"/>
    </row>
    <row r="3041">
      <c r="A3041" s="28"/>
      <c r="B3041" s="1"/>
      <c r="C3041" s="29"/>
      <c r="D3041" s="27"/>
      <c r="E3041" s="27"/>
      <c r="F3041" s="27"/>
    </row>
    <row r="3042">
      <c r="A3042" s="28"/>
      <c r="B3042" s="1"/>
      <c r="C3042" s="29"/>
      <c r="D3042" s="27"/>
      <c r="E3042" s="27"/>
      <c r="F3042" s="27"/>
    </row>
    <row r="3043">
      <c r="A3043" s="28"/>
      <c r="B3043" s="1"/>
      <c r="C3043" s="29"/>
      <c r="D3043" s="27"/>
      <c r="E3043" s="27"/>
      <c r="F3043" s="27"/>
    </row>
    <row r="3044">
      <c r="A3044" s="28"/>
      <c r="B3044" s="1"/>
      <c r="C3044" s="29"/>
      <c r="D3044" s="27"/>
      <c r="E3044" s="27"/>
      <c r="F3044" s="27"/>
    </row>
    <row r="3045">
      <c r="A3045" s="28"/>
      <c r="B3045" s="1"/>
      <c r="C3045" s="29"/>
      <c r="D3045" s="27"/>
      <c r="E3045" s="27"/>
      <c r="F3045" s="27"/>
    </row>
    <row r="3046">
      <c r="A3046" s="28"/>
      <c r="B3046" s="1"/>
      <c r="C3046" s="29"/>
      <c r="D3046" s="27"/>
      <c r="E3046" s="27"/>
      <c r="F3046" s="27"/>
    </row>
    <row r="3047">
      <c r="A3047" s="28"/>
      <c r="B3047" s="1"/>
      <c r="C3047" s="29"/>
      <c r="D3047" s="27"/>
      <c r="E3047" s="27"/>
      <c r="F3047" s="27"/>
    </row>
    <row r="3048">
      <c r="A3048" s="28"/>
      <c r="B3048" s="1"/>
      <c r="C3048" s="29"/>
      <c r="D3048" s="27"/>
      <c r="E3048" s="27"/>
      <c r="F3048" s="27"/>
    </row>
    <row r="3049">
      <c r="A3049" s="28"/>
      <c r="B3049" s="1"/>
      <c r="C3049" s="29"/>
      <c r="D3049" s="27"/>
      <c r="E3049" s="27"/>
      <c r="F3049" s="27"/>
    </row>
    <row r="3050">
      <c r="A3050" s="28"/>
      <c r="B3050" s="1"/>
      <c r="C3050" s="29"/>
      <c r="D3050" s="27"/>
      <c r="E3050" s="27"/>
      <c r="F3050" s="27"/>
    </row>
    <row r="3051">
      <c r="A3051" s="28"/>
      <c r="B3051" s="1"/>
      <c r="C3051" s="29"/>
      <c r="D3051" s="27"/>
      <c r="E3051" s="27"/>
      <c r="F3051" s="27"/>
    </row>
    <row r="3052">
      <c r="A3052" s="28"/>
      <c r="B3052" s="1"/>
      <c r="C3052" s="29"/>
      <c r="D3052" s="27"/>
      <c r="E3052" s="27"/>
      <c r="F3052" s="27"/>
    </row>
    <row r="3053">
      <c r="A3053" s="28"/>
      <c r="B3053" s="1"/>
      <c r="C3053" s="29"/>
      <c r="D3053" s="27"/>
      <c r="E3053" s="27"/>
      <c r="F3053" s="27"/>
    </row>
    <row r="3054">
      <c r="A3054" s="28"/>
      <c r="B3054" s="1"/>
      <c r="C3054" s="29"/>
      <c r="D3054" s="27"/>
      <c r="E3054" s="27"/>
      <c r="F3054" s="27"/>
    </row>
    <row r="3055">
      <c r="A3055" s="28"/>
      <c r="B3055" s="1"/>
      <c r="C3055" s="29"/>
      <c r="D3055" s="27"/>
      <c r="E3055" s="27"/>
      <c r="F3055" s="27"/>
    </row>
    <row r="3056">
      <c r="A3056" s="28"/>
      <c r="B3056" s="1"/>
      <c r="C3056" s="29"/>
      <c r="D3056" s="27"/>
      <c r="E3056" s="27"/>
      <c r="F3056" s="27"/>
    </row>
    <row r="3057">
      <c r="A3057" s="28"/>
      <c r="B3057" s="1"/>
      <c r="C3057" s="29"/>
      <c r="D3057" s="27"/>
      <c r="E3057" s="27"/>
      <c r="F3057" s="27"/>
    </row>
    <row r="3058">
      <c r="A3058" s="28"/>
      <c r="B3058" s="1"/>
      <c r="C3058" s="29"/>
      <c r="D3058" s="27"/>
      <c r="E3058" s="27"/>
      <c r="F3058" s="27"/>
    </row>
    <row r="3059">
      <c r="A3059" s="28"/>
      <c r="B3059" s="1"/>
      <c r="C3059" s="29"/>
      <c r="D3059" s="27"/>
      <c r="E3059" s="27"/>
      <c r="F3059" s="27"/>
    </row>
    <row r="3060">
      <c r="A3060" s="28"/>
      <c r="B3060" s="1"/>
      <c r="C3060" s="29"/>
      <c r="D3060" s="27"/>
      <c r="E3060" s="27"/>
      <c r="F3060" s="27"/>
    </row>
    <row r="3061">
      <c r="A3061" s="28"/>
      <c r="B3061" s="1"/>
      <c r="C3061" s="29"/>
      <c r="D3061" s="27"/>
      <c r="E3061" s="27"/>
      <c r="F3061" s="27"/>
    </row>
    <row r="3062">
      <c r="A3062" s="28"/>
      <c r="B3062" s="1"/>
      <c r="C3062" s="29"/>
      <c r="D3062" s="27"/>
      <c r="E3062" s="27"/>
      <c r="F3062" s="27"/>
    </row>
    <row r="3063">
      <c r="A3063" s="28"/>
      <c r="B3063" s="1"/>
      <c r="C3063" s="29"/>
      <c r="D3063" s="27"/>
      <c r="E3063" s="27"/>
      <c r="F3063" s="27"/>
    </row>
    <row r="3064">
      <c r="A3064" s="28"/>
      <c r="B3064" s="1"/>
      <c r="C3064" s="29"/>
      <c r="D3064" s="27"/>
      <c r="E3064" s="27"/>
      <c r="F3064" s="27"/>
    </row>
    <row r="3065">
      <c r="A3065" s="28"/>
      <c r="B3065" s="1"/>
      <c r="C3065" s="29"/>
      <c r="D3065" s="27"/>
      <c r="E3065" s="27"/>
      <c r="F3065" s="27"/>
    </row>
    <row r="3066">
      <c r="A3066" s="28"/>
      <c r="B3066" s="1"/>
      <c r="C3066" s="29"/>
      <c r="D3066" s="27"/>
      <c r="E3066" s="27"/>
      <c r="F3066" s="27"/>
    </row>
    <row r="3067">
      <c r="A3067" s="28"/>
      <c r="B3067" s="1"/>
      <c r="C3067" s="29"/>
      <c r="D3067" s="27"/>
      <c r="E3067" s="27"/>
      <c r="F3067" s="27"/>
    </row>
    <row r="3068">
      <c r="A3068" s="28"/>
      <c r="B3068" s="1"/>
      <c r="C3068" s="29"/>
      <c r="D3068" s="27"/>
      <c r="E3068" s="27"/>
      <c r="F3068" s="27"/>
    </row>
    <row r="3069">
      <c r="A3069" s="28"/>
      <c r="B3069" s="1"/>
      <c r="C3069" s="29"/>
      <c r="D3069" s="27"/>
      <c r="E3069" s="27"/>
      <c r="F3069" s="27"/>
    </row>
    <row r="3070">
      <c r="A3070" s="28"/>
      <c r="B3070" s="1"/>
      <c r="C3070" s="29"/>
      <c r="D3070" s="27"/>
      <c r="E3070" s="27"/>
      <c r="F3070" s="27"/>
    </row>
    <row r="3071">
      <c r="A3071" s="28"/>
      <c r="B3071" s="1"/>
      <c r="C3071" s="29"/>
      <c r="D3071" s="27"/>
      <c r="E3071" s="27"/>
      <c r="F3071" s="27"/>
    </row>
    <row r="3072">
      <c r="A3072" s="28"/>
      <c r="B3072" s="1"/>
      <c r="C3072" s="29"/>
      <c r="D3072" s="27"/>
      <c r="E3072" s="27"/>
      <c r="F3072" s="27"/>
    </row>
    <row r="3073">
      <c r="A3073" s="28"/>
      <c r="B3073" s="1"/>
      <c r="C3073" s="29"/>
      <c r="D3073" s="27"/>
      <c r="E3073" s="27"/>
      <c r="F3073" s="27"/>
    </row>
    <row r="3074">
      <c r="A3074" s="28"/>
      <c r="B3074" s="1"/>
      <c r="C3074" s="29"/>
      <c r="D3074" s="27"/>
      <c r="E3074" s="27"/>
      <c r="F3074" s="27"/>
    </row>
    <row r="3075">
      <c r="A3075" s="28"/>
      <c r="B3075" s="1"/>
      <c r="C3075" s="29"/>
      <c r="D3075" s="27"/>
      <c r="E3075" s="27"/>
      <c r="F3075" s="27"/>
    </row>
    <row r="3076">
      <c r="A3076" s="28"/>
      <c r="B3076" s="1"/>
      <c r="C3076" s="29"/>
      <c r="D3076" s="27"/>
      <c r="E3076" s="27"/>
      <c r="F3076" s="27"/>
    </row>
    <row r="3077">
      <c r="A3077" s="28"/>
      <c r="B3077" s="1"/>
      <c r="C3077" s="29"/>
      <c r="D3077" s="27"/>
      <c r="E3077" s="27"/>
      <c r="F3077" s="27"/>
    </row>
    <row r="3078">
      <c r="A3078" s="28"/>
      <c r="B3078" s="1"/>
      <c r="C3078" s="29"/>
      <c r="D3078" s="27"/>
      <c r="E3078" s="27"/>
      <c r="F3078" s="27"/>
    </row>
    <row r="3079">
      <c r="A3079" s="28"/>
      <c r="B3079" s="1"/>
      <c r="C3079" s="29"/>
      <c r="D3079" s="27"/>
      <c r="E3079" s="27"/>
      <c r="F3079" s="27"/>
    </row>
    <row r="3080">
      <c r="A3080" s="28"/>
      <c r="B3080" s="1"/>
      <c r="C3080" s="29"/>
      <c r="D3080" s="27"/>
      <c r="E3080" s="27"/>
      <c r="F3080" s="27"/>
    </row>
    <row r="3081">
      <c r="A3081" s="28"/>
      <c r="B3081" s="1"/>
      <c r="C3081" s="29"/>
      <c r="D3081" s="27"/>
      <c r="E3081" s="27"/>
      <c r="F3081" s="27"/>
    </row>
    <row r="3082">
      <c r="A3082" s="28"/>
      <c r="B3082" s="1"/>
      <c r="C3082" s="29"/>
      <c r="D3082" s="27"/>
      <c r="E3082" s="27"/>
      <c r="F3082" s="27"/>
    </row>
    <row r="3083">
      <c r="A3083" s="28"/>
      <c r="B3083" s="1"/>
      <c r="C3083" s="29"/>
      <c r="D3083" s="27"/>
      <c r="E3083" s="27"/>
      <c r="F3083" s="27"/>
    </row>
    <row r="3084">
      <c r="A3084" s="28"/>
      <c r="B3084" s="1"/>
      <c r="C3084" s="29"/>
      <c r="D3084" s="27"/>
      <c r="E3084" s="27"/>
      <c r="F3084" s="27"/>
    </row>
    <row r="3085">
      <c r="A3085" s="28"/>
      <c r="B3085" s="1"/>
      <c r="C3085" s="29"/>
      <c r="D3085" s="27"/>
      <c r="E3085" s="27"/>
      <c r="F3085" s="27"/>
    </row>
    <row r="3086">
      <c r="A3086" s="28"/>
      <c r="B3086" s="1"/>
      <c r="C3086" s="29"/>
      <c r="D3086" s="27"/>
      <c r="E3086" s="27"/>
      <c r="F3086" s="27"/>
    </row>
    <row r="3087">
      <c r="A3087" s="28"/>
      <c r="B3087" s="1"/>
      <c r="C3087" s="29"/>
      <c r="D3087" s="27"/>
      <c r="E3087" s="27"/>
      <c r="F3087" s="27"/>
    </row>
    <row r="3088">
      <c r="A3088" s="28"/>
      <c r="B3088" s="1"/>
      <c r="C3088" s="29"/>
      <c r="D3088" s="27"/>
      <c r="E3088" s="27"/>
      <c r="F3088" s="27"/>
    </row>
    <row r="3089">
      <c r="A3089" s="28"/>
      <c r="B3089" s="1"/>
      <c r="C3089" s="29"/>
      <c r="D3089" s="27"/>
      <c r="E3089" s="27"/>
      <c r="F3089" s="27"/>
    </row>
    <row r="3090">
      <c r="A3090" s="28"/>
      <c r="B3090" s="1"/>
      <c r="C3090" s="29"/>
      <c r="D3090" s="27"/>
      <c r="E3090" s="27"/>
      <c r="F3090" s="27"/>
    </row>
    <row r="3091">
      <c r="A3091" s="28"/>
      <c r="B3091" s="1"/>
      <c r="C3091" s="29"/>
      <c r="D3091" s="27"/>
      <c r="E3091" s="27"/>
      <c r="F3091" s="27"/>
    </row>
    <row r="3092">
      <c r="A3092" s="28"/>
      <c r="B3092" s="1"/>
      <c r="C3092" s="29"/>
      <c r="D3092" s="27"/>
      <c r="E3092" s="27"/>
      <c r="F3092" s="27"/>
    </row>
    <row r="3093">
      <c r="A3093" s="28"/>
      <c r="B3093" s="1"/>
      <c r="C3093" s="29"/>
      <c r="D3093" s="27"/>
      <c r="E3093" s="27"/>
      <c r="F3093" s="27"/>
    </row>
    <row r="3094">
      <c r="A3094" s="28"/>
      <c r="B3094" s="1"/>
      <c r="C3094" s="29"/>
      <c r="D3094" s="27"/>
      <c r="E3094" s="27"/>
      <c r="F3094" s="27"/>
    </row>
    <row r="3095">
      <c r="A3095" s="28"/>
      <c r="B3095" s="1"/>
      <c r="C3095" s="29"/>
      <c r="D3095" s="27"/>
      <c r="E3095" s="27"/>
      <c r="F3095" s="27"/>
    </row>
    <row r="3096">
      <c r="A3096" s="28"/>
      <c r="B3096" s="1"/>
      <c r="C3096" s="29"/>
      <c r="D3096" s="27"/>
      <c r="E3096" s="27"/>
      <c r="F3096" s="27"/>
    </row>
    <row r="3097">
      <c r="A3097" s="28"/>
      <c r="B3097" s="1"/>
      <c r="C3097" s="29"/>
      <c r="D3097" s="27"/>
      <c r="E3097" s="27"/>
      <c r="F3097" s="27"/>
    </row>
    <row r="3098">
      <c r="A3098" s="28"/>
      <c r="B3098" s="1"/>
      <c r="C3098" s="29"/>
      <c r="D3098" s="27"/>
      <c r="E3098" s="27"/>
      <c r="F3098" s="27"/>
    </row>
    <row r="3099">
      <c r="A3099" s="28"/>
      <c r="B3099" s="1"/>
      <c r="C3099" s="29"/>
      <c r="D3099" s="27"/>
      <c r="E3099" s="27"/>
      <c r="F3099" s="27"/>
    </row>
    <row r="3100">
      <c r="A3100" s="28"/>
      <c r="B3100" s="1"/>
      <c r="C3100" s="29"/>
      <c r="D3100" s="27"/>
      <c r="E3100" s="27"/>
      <c r="F3100" s="27"/>
    </row>
    <row r="3101">
      <c r="A3101" s="28"/>
      <c r="B3101" s="1"/>
      <c r="C3101" s="29"/>
      <c r="D3101" s="27"/>
      <c r="E3101" s="27"/>
      <c r="F3101" s="27"/>
    </row>
    <row r="3102">
      <c r="A3102" s="28"/>
      <c r="B3102" s="1"/>
      <c r="C3102" s="29"/>
      <c r="D3102" s="27"/>
      <c r="E3102" s="27"/>
      <c r="F3102" s="27"/>
    </row>
    <row r="3103">
      <c r="A3103" s="28"/>
      <c r="B3103" s="1"/>
      <c r="C3103" s="29"/>
      <c r="D3103" s="27"/>
      <c r="E3103" s="27"/>
      <c r="F3103" s="27"/>
    </row>
    <row r="3104">
      <c r="A3104" s="28"/>
      <c r="B3104" s="1"/>
      <c r="C3104" s="29"/>
      <c r="D3104" s="27"/>
      <c r="E3104" s="27"/>
      <c r="F3104" s="27"/>
    </row>
    <row r="3105">
      <c r="A3105" s="28"/>
      <c r="B3105" s="1"/>
      <c r="C3105" s="29"/>
      <c r="D3105" s="27"/>
      <c r="E3105" s="27"/>
      <c r="F3105" s="27"/>
    </row>
    <row r="3106">
      <c r="A3106" s="28"/>
      <c r="B3106" s="1"/>
      <c r="C3106" s="29"/>
      <c r="D3106" s="27"/>
      <c r="E3106" s="27"/>
      <c r="F3106" s="27"/>
    </row>
    <row r="3107">
      <c r="A3107" s="28"/>
      <c r="B3107" s="1"/>
      <c r="C3107" s="29"/>
      <c r="D3107" s="27"/>
      <c r="E3107" s="27"/>
      <c r="F3107" s="27"/>
    </row>
    <row r="3108">
      <c r="A3108" s="28"/>
      <c r="B3108" s="1"/>
      <c r="C3108" s="29"/>
      <c r="D3108" s="27"/>
      <c r="E3108" s="27"/>
      <c r="F3108" s="27"/>
    </row>
    <row r="3109">
      <c r="A3109" s="28"/>
      <c r="B3109" s="1"/>
      <c r="C3109" s="29"/>
      <c r="D3109" s="27"/>
      <c r="E3109" s="27"/>
      <c r="F3109" s="27"/>
    </row>
    <row r="3110">
      <c r="A3110" s="28"/>
      <c r="B3110" s="1"/>
      <c r="C3110" s="29"/>
      <c r="D3110" s="27"/>
      <c r="E3110" s="27"/>
      <c r="F3110" s="27"/>
    </row>
    <row r="3111">
      <c r="A3111" s="28"/>
      <c r="B3111" s="1"/>
      <c r="C3111" s="29"/>
      <c r="D3111" s="27"/>
      <c r="E3111" s="27"/>
      <c r="F3111" s="27"/>
    </row>
    <row r="3112">
      <c r="A3112" s="28"/>
      <c r="B3112" s="1"/>
      <c r="C3112" s="29"/>
      <c r="D3112" s="27"/>
      <c r="E3112" s="27"/>
      <c r="F3112" s="27"/>
    </row>
    <row r="3113">
      <c r="A3113" s="28"/>
      <c r="B3113" s="1"/>
      <c r="C3113" s="29"/>
      <c r="D3113" s="27"/>
      <c r="E3113" s="27"/>
      <c r="F3113" s="27"/>
    </row>
    <row r="3114">
      <c r="A3114" s="28"/>
      <c r="B3114" s="1"/>
      <c r="C3114" s="29"/>
      <c r="D3114" s="27"/>
      <c r="E3114" s="27"/>
      <c r="F3114" s="27"/>
    </row>
    <row r="3115">
      <c r="A3115" s="28"/>
      <c r="B3115" s="1"/>
      <c r="C3115" s="29"/>
      <c r="D3115" s="27"/>
      <c r="E3115" s="27"/>
      <c r="F3115" s="27"/>
    </row>
    <row r="3116">
      <c r="A3116" s="28"/>
      <c r="B3116" s="1"/>
      <c r="C3116" s="29"/>
      <c r="D3116" s="27"/>
      <c r="E3116" s="27"/>
      <c r="F3116" s="27"/>
    </row>
    <row r="3117">
      <c r="A3117" s="28"/>
      <c r="B3117" s="1"/>
      <c r="C3117" s="29"/>
      <c r="D3117" s="27"/>
      <c r="E3117" s="27"/>
      <c r="F3117" s="27"/>
    </row>
    <row r="3118">
      <c r="A3118" s="28"/>
      <c r="B3118" s="1"/>
      <c r="C3118" s="29"/>
      <c r="D3118" s="27"/>
      <c r="E3118" s="27"/>
      <c r="F3118" s="27"/>
    </row>
    <row r="3119">
      <c r="A3119" s="28"/>
      <c r="B3119" s="1"/>
      <c r="C3119" s="29"/>
      <c r="D3119" s="27"/>
      <c r="E3119" s="27"/>
      <c r="F3119" s="27"/>
    </row>
    <row r="3120">
      <c r="A3120" s="28"/>
      <c r="B3120" s="1"/>
      <c r="C3120" s="29"/>
      <c r="D3120" s="27"/>
      <c r="E3120" s="27"/>
      <c r="F3120" s="27"/>
    </row>
    <row r="3121">
      <c r="A3121" s="28"/>
      <c r="B3121" s="1"/>
      <c r="C3121" s="29"/>
      <c r="D3121" s="27"/>
      <c r="E3121" s="27"/>
      <c r="F3121" s="27"/>
    </row>
    <row r="3122">
      <c r="A3122" s="28"/>
      <c r="B3122" s="1"/>
      <c r="C3122" s="29"/>
      <c r="D3122" s="27"/>
      <c r="E3122" s="27"/>
      <c r="F3122" s="27"/>
    </row>
    <row r="3123">
      <c r="A3123" s="28"/>
      <c r="B3123" s="1"/>
      <c r="C3123" s="29"/>
      <c r="D3123" s="27"/>
      <c r="E3123" s="27"/>
      <c r="F3123" s="27"/>
    </row>
    <row r="3124">
      <c r="A3124" s="28"/>
      <c r="B3124" s="1"/>
      <c r="C3124" s="29"/>
      <c r="D3124" s="27"/>
      <c r="E3124" s="27"/>
      <c r="F3124" s="27"/>
    </row>
    <row r="3125">
      <c r="A3125" s="28"/>
      <c r="B3125" s="1"/>
      <c r="C3125" s="29"/>
      <c r="D3125" s="27"/>
      <c r="E3125" s="27"/>
      <c r="F3125" s="27"/>
    </row>
    <row r="3126">
      <c r="A3126" s="28"/>
      <c r="B3126" s="1"/>
      <c r="C3126" s="29"/>
      <c r="D3126" s="27"/>
      <c r="E3126" s="27"/>
      <c r="F3126" s="27"/>
    </row>
    <row r="3127">
      <c r="A3127" s="28"/>
      <c r="B3127" s="1"/>
      <c r="C3127" s="29"/>
      <c r="D3127" s="27"/>
      <c r="E3127" s="27"/>
      <c r="F3127" s="27"/>
    </row>
    <row r="3128">
      <c r="A3128" s="28"/>
      <c r="B3128" s="1"/>
      <c r="C3128" s="29"/>
      <c r="D3128" s="27"/>
      <c r="E3128" s="27"/>
      <c r="F3128" s="27"/>
    </row>
    <row r="3129">
      <c r="A3129" s="28"/>
      <c r="B3129" s="1"/>
      <c r="C3129" s="29"/>
      <c r="D3129" s="27"/>
      <c r="E3129" s="27"/>
      <c r="F3129" s="27"/>
    </row>
    <row r="3130">
      <c r="A3130" s="28"/>
      <c r="B3130" s="1"/>
      <c r="C3130" s="29"/>
      <c r="D3130" s="27"/>
      <c r="E3130" s="27"/>
      <c r="F3130" s="27"/>
    </row>
    <row r="3131">
      <c r="A3131" s="28"/>
      <c r="B3131" s="1"/>
      <c r="C3131" s="29"/>
      <c r="D3131" s="27"/>
      <c r="E3131" s="27"/>
      <c r="F3131" s="27"/>
    </row>
    <row r="3132">
      <c r="A3132" s="28"/>
      <c r="B3132" s="1"/>
      <c r="C3132" s="29"/>
      <c r="D3132" s="27"/>
      <c r="E3132" s="27"/>
      <c r="F3132" s="27"/>
    </row>
    <row r="3133">
      <c r="A3133" s="28"/>
      <c r="B3133" s="1"/>
      <c r="C3133" s="29"/>
      <c r="D3133" s="27"/>
      <c r="E3133" s="27"/>
      <c r="F3133" s="27"/>
    </row>
    <row r="3134">
      <c r="A3134" s="28"/>
      <c r="B3134" s="1"/>
      <c r="C3134" s="29"/>
      <c r="D3134" s="27"/>
      <c r="E3134" s="27"/>
      <c r="F3134" s="27"/>
    </row>
    <row r="3135">
      <c r="A3135" s="28"/>
      <c r="B3135" s="1"/>
      <c r="C3135" s="29"/>
      <c r="D3135" s="27"/>
      <c r="E3135" s="27"/>
      <c r="F3135" s="27"/>
    </row>
    <row r="3136">
      <c r="A3136" s="28"/>
      <c r="B3136" s="1"/>
      <c r="C3136" s="29"/>
      <c r="D3136" s="27"/>
      <c r="E3136" s="27"/>
      <c r="F3136" s="27"/>
    </row>
    <row r="3137">
      <c r="A3137" s="28"/>
      <c r="B3137" s="1"/>
      <c r="C3137" s="29"/>
      <c r="D3137" s="27"/>
      <c r="E3137" s="27"/>
      <c r="F3137" s="27"/>
    </row>
    <row r="3138">
      <c r="A3138" s="28"/>
      <c r="B3138" s="1"/>
      <c r="C3138" s="29"/>
      <c r="D3138" s="27"/>
      <c r="E3138" s="27"/>
      <c r="F3138" s="27"/>
    </row>
    <row r="3139">
      <c r="A3139" s="28"/>
      <c r="B3139" s="1"/>
      <c r="C3139" s="29"/>
      <c r="D3139" s="27"/>
      <c r="E3139" s="27"/>
      <c r="F3139" s="27"/>
    </row>
    <row r="3140">
      <c r="A3140" s="28"/>
      <c r="B3140" s="1"/>
      <c r="C3140" s="29"/>
      <c r="D3140" s="27"/>
      <c r="E3140" s="27"/>
      <c r="F3140" s="27"/>
    </row>
    <row r="3141">
      <c r="A3141" s="28"/>
      <c r="B3141" s="1"/>
      <c r="C3141" s="29"/>
      <c r="D3141" s="27"/>
      <c r="E3141" s="27"/>
      <c r="F3141" s="27"/>
    </row>
    <row r="3142">
      <c r="A3142" s="28"/>
      <c r="B3142" s="1"/>
      <c r="C3142" s="29"/>
      <c r="D3142" s="27"/>
      <c r="E3142" s="27"/>
      <c r="F3142" s="27"/>
    </row>
    <row r="3143">
      <c r="A3143" s="28"/>
      <c r="B3143" s="1"/>
      <c r="C3143" s="29"/>
      <c r="D3143" s="27"/>
      <c r="E3143" s="27"/>
      <c r="F3143" s="27"/>
    </row>
    <row r="3144">
      <c r="A3144" s="28"/>
      <c r="B3144" s="1"/>
      <c r="C3144" s="29"/>
      <c r="D3144" s="27"/>
      <c r="E3144" s="27"/>
      <c r="F3144" s="27"/>
    </row>
    <row r="3145">
      <c r="A3145" s="28"/>
      <c r="B3145" s="1"/>
      <c r="C3145" s="29"/>
      <c r="D3145" s="27"/>
      <c r="E3145" s="27"/>
      <c r="F3145" s="27"/>
    </row>
    <row r="3146">
      <c r="A3146" s="28"/>
      <c r="B3146" s="1"/>
      <c r="C3146" s="29"/>
      <c r="D3146" s="27"/>
      <c r="E3146" s="27"/>
      <c r="F3146" s="27"/>
    </row>
    <row r="3147">
      <c r="A3147" s="28"/>
      <c r="B3147" s="1"/>
      <c r="C3147" s="29"/>
      <c r="D3147" s="27"/>
      <c r="E3147" s="27"/>
      <c r="F3147" s="27"/>
    </row>
    <row r="3148">
      <c r="A3148" s="28"/>
      <c r="B3148" s="1"/>
      <c r="C3148" s="29"/>
      <c r="D3148" s="27"/>
      <c r="E3148" s="27"/>
      <c r="F3148" s="27"/>
    </row>
    <row r="3149">
      <c r="A3149" s="28"/>
      <c r="B3149" s="1"/>
      <c r="C3149" s="29"/>
      <c r="D3149" s="27"/>
      <c r="E3149" s="27"/>
      <c r="F3149" s="27"/>
    </row>
    <row r="3150">
      <c r="A3150" s="28"/>
      <c r="B3150" s="1"/>
      <c r="C3150" s="29"/>
      <c r="D3150" s="27"/>
      <c r="E3150" s="27"/>
      <c r="F3150" s="27"/>
    </row>
    <row r="3151">
      <c r="A3151" s="28"/>
      <c r="B3151" s="1"/>
      <c r="C3151" s="29"/>
      <c r="D3151" s="27"/>
      <c r="E3151" s="27"/>
      <c r="F3151" s="27"/>
    </row>
    <row r="3152">
      <c r="A3152" s="28"/>
      <c r="B3152" s="1"/>
      <c r="C3152" s="29"/>
      <c r="D3152" s="27"/>
      <c r="E3152" s="27"/>
      <c r="F3152" s="27"/>
    </row>
    <row r="3153">
      <c r="A3153" s="28"/>
      <c r="B3153" s="1"/>
      <c r="C3153" s="29"/>
      <c r="D3153" s="27"/>
      <c r="E3153" s="27"/>
      <c r="F3153" s="27"/>
    </row>
    <row r="3154">
      <c r="A3154" s="28"/>
      <c r="B3154" s="1"/>
      <c r="C3154" s="29"/>
      <c r="D3154" s="27"/>
      <c r="E3154" s="27"/>
      <c r="F3154" s="27"/>
    </row>
    <row r="3155">
      <c r="A3155" s="28"/>
      <c r="B3155" s="1"/>
      <c r="C3155" s="29"/>
      <c r="D3155" s="27"/>
      <c r="E3155" s="27"/>
      <c r="F3155" s="27"/>
    </row>
    <row r="3156">
      <c r="A3156" s="28"/>
      <c r="B3156" s="1"/>
      <c r="C3156" s="29"/>
      <c r="D3156" s="27"/>
      <c r="E3156" s="27"/>
      <c r="F3156" s="27"/>
    </row>
    <row r="3157">
      <c r="A3157" s="28"/>
      <c r="B3157" s="1"/>
      <c r="C3157" s="29"/>
      <c r="D3157" s="27"/>
      <c r="E3157" s="27"/>
      <c r="F3157" s="27"/>
    </row>
    <row r="3158">
      <c r="A3158" s="28"/>
      <c r="B3158" s="1"/>
      <c r="C3158" s="29"/>
      <c r="D3158" s="27"/>
      <c r="E3158" s="27"/>
      <c r="F3158" s="27"/>
    </row>
    <row r="3159">
      <c r="A3159" s="28"/>
      <c r="B3159" s="1"/>
      <c r="C3159" s="29"/>
      <c r="D3159" s="27"/>
      <c r="E3159" s="27"/>
      <c r="F3159" s="27"/>
    </row>
    <row r="3160">
      <c r="A3160" s="28"/>
      <c r="B3160" s="1"/>
      <c r="C3160" s="29"/>
      <c r="D3160" s="27"/>
      <c r="E3160" s="27"/>
      <c r="F3160" s="27"/>
    </row>
    <row r="3161">
      <c r="A3161" s="28"/>
      <c r="B3161" s="1"/>
      <c r="C3161" s="29"/>
      <c r="D3161" s="27"/>
      <c r="E3161" s="27"/>
      <c r="F3161" s="27"/>
    </row>
    <row r="3162">
      <c r="A3162" s="28"/>
      <c r="B3162" s="1"/>
      <c r="C3162" s="29"/>
      <c r="D3162" s="27"/>
      <c r="E3162" s="27"/>
      <c r="F3162" s="27"/>
    </row>
    <row r="3163">
      <c r="A3163" s="28"/>
      <c r="B3163" s="1"/>
      <c r="C3163" s="29"/>
      <c r="D3163" s="27"/>
      <c r="E3163" s="27"/>
      <c r="F3163" s="27"/>
    </row>
    <row r="3164">
      <c r="A3164" s="28"/>
      <c r="B3164" s="1"/>
      <c r="C3164" s="29"/>
      <c r="D3164" s="27"/>
      <c r="E3164" s="27"/>
      <c r="F3164" s="27"/>
    </row>
    <row r="3165">
      <c r="A3165" s="28"/>
      <c r="B3165" s="1"/>
      <c r="C3165" s="29"/>
      <c r="D3165" s="27"/>
      <c r="E3165" s="27"/>
      <c r="F3165" s="27"/>
    </row>
    <row r="3166">
      <c r="A3166" s="28"/>
      <c r="B3166" s="1"/>
      <c r="C3166" s="29"/>
      <c r="D3166" s="27"/>
      <c r="E3166" s="27"/>
      <c r="F3166" s="27"/>
    </row>
    <row r="3167">
      <c r="A3167" s="28"/>
      <c r="B3167" s="1"/>
      <c r="C3167" s="29"/>
      <c r="D3167" s="27"/>
      <c r="E3167" s="27"/>
      <c r="F3167" s="27"/>
    </row>
    <row r="3168">
      <c r="A3168" s="28"/>
      <c r="B3168" s="1"/>
      <c r="C3168" s="29"/>
      <c r="D3168" s="27"/>
      <c r="E3168" s="27"/>
      <c r="F3168" s="27"/>
    </row>
    <row r="3169">
      <c r="A3169" s="28"/>
      <c r="B3169" s="1"/>
      <c r="C3169" s="29"/>
      <c r="D3169" s="27"/>
      <c r="E3169" s="27"/>
      <c r="F3169" s="27"/>
    </row>
    <row r="3170">
      <c r="A3170" s="28"/>
      <c r="B3170" s="1"/>
      <c r="C3170" s="29"/>
      <c r="D3170" s="27"/>
      <c r="E3170" s="27"/>
      <c r="F3170" s="27"/>
    </row>
    <row r="3171">
      <c r="A3171" s="28"/>
      <c r="B3171" s="1"/>
      <c r="C3171" s="29"/>
      <c r="D3171" s="27"/>
      <c r="E3171" s="27"/>
      <c r="F3171" s="27"/>
    </row>
    <row r="3172">
      <c r="A3172" s="28"/>
      <c r="B3172" s="1"/>
      <c r="C3172" s="29"/>
      <c r="D3172" s="27"/>
      <c r="E3172" s="27"/>
      <c r="F3172" s="27"/>
    </row>
    <row r="3173">
      <c r="A3173" s="28"/>
      <c r="B3173" s="1"/>
      <c r="C3173" s="29"/>
      <c r="D3173" s="27"/>
      <c r="E3173" s="27"/>
      <c r="F3173" s="27"/>
    </row>
    <row r="3174">
      <c r="A3174" s="28"/>
      <c r="B3174" s="1"/>
      <c r="C3174" s="29"/>
      <c r="D3174" s="27"/>
      <c r="E3174" s="27"/>
      <c r="F3174" s="27"/>
    </row>
    <row r="3175">
      <c r="A3175" s="28"/>
      <c r="B3175" s="1"/>
      <c r="C3175" s="29"/>
      <c r="D3175" s="27"/>
      <c r="E3175" s="27"/>
      <c r="F3175" s="27"/>
    </row>
    <row r="3176">
      <c r="A3176" s="28"/>
      <c r="B3176" s="1"/>
      <c r="C3176" s="29"/>
      <c r="D3176" s="27"/>
      <c r="E3176" s="27"/>
      <c r="F3176" s="27"/>
    </row>
    <row r="3177">
      <c r="A3177" s="28"/>
      <c r="B3177" s="1"/>
      <c r="C3177" s="29"/>
      <c r="D3177" s="27"/>
      <c r="E3177" s="27"/>
      <c r="F3177" s="27"/>
    </row>
    <row r="3178">
      <c r="A3178" s="28"/>
      <c r="B3178" s="1"/>
      <c r="C3178" s="29"/>
      <c r="D3178" s="27"/>
      <c r="E3178" s="27"/>
      <c r="F3178" s="27"/>
    </row>
    <row r="3179">
      <c r="A3179" s="28"/>
      <c r="B3179" s="1"/>
      <c r="C3179" s="29"/>
      <c r="D3179" s="27"/>
      <c r="E3179" s="27"/>
      <c r="F3179" s="27"/>
    </row>
    <row r="3180">
      <c r="A3180" s="28"/>
      <c r="B3180" s="1"/>
      <c r="C3180" s="29"/>
      <c r="D3180" s="27"/>
      <c r="E3180" s="27"/>
      <c r="F3180" s="27"/>
    </row>
    <row r="3181">
      <c r="A3181" s="28"/>
      <c r="B3181" s="1"/>
      <c r="C3181" s="29"/>
      <c r="D3181" s="27"/>
      <c r="E3181" s="27"/>
      <c r="F3181" s="27"/>
    </row>
    <row r="3182">
      <c r="A3182" s="28"/>
      <c r="B3182" s="1"/>
      <c r="C3182" s="29"/>
      <c r="D3182" s="27"/>
      <c r="E3182" s="27"/>
      <c r="F3182" s="27"/>
    </row>
    <row r="3183">
      <c r="A3183" s="28"/>
      <c r="B3183" s="1"/>
      <c r="C3183" s="29"/>
      <c r="D3183" s="27"/>
      <c r="E3183" s="27"/>
      <c r="F3183" s="27"/>
    </row>
    <row r="3184">
      <c r="A3184" s="28"/>
      <c r="B3184" s="1"/>
      <c r="C3184" s="29"/>
      <c r="D3184" s="27"/>
      <c r="E3184" s="27"/>
      <c r="F3184" s="27"/>
    </row>
    <row r="3185">
      <c r="A3185" s="28"/>
      <c r="B3185" s="1"/>
      <c r="C3185" s="29"/>
      <c r="D3185" s="27"/>
      <c r="E3185" s="27"/>
      <c r="F3185" s="27"/>
    </row>
    <row r="3186">
      <c r="A3186" s="28"/>
      <c r="B3186" s="1"/>
      <c r="C3186" s="29"/>
      <c r="D3186" s="27"/>
      <c r="E3186" s="27"/>
      <c r="F3186" s="27"/>
    </row>
    <row r="3187">
      <c r="A3187" s="28"/>
      <c r="B3187" s="1"/>
      <c r="C3187" s="29"/>
      <c r="D3187" s="27"/>
      <c r="E3187" s="27"/>
      <c r="F3187" s="27"/>
    </row>
    <row r="3188">
      <c r="A3188" s="28"/>
      <c r="B3188" s="1"/>
      <c r="C3188" s="29"/>
      <c r="D3188" s="27"/>
      <c r="E3188" s="27"/>
      <c r="F3188" s="27"/>
    </row>
    <row r="3189">
      <c r="A3189" s="28"/>
      <c r="B3189" s="1"/>
      <c r="C3189" s="29"/>
      <c r="D3189" s="27"/>
      <c r="E3189" s="27"/>
      <c r="F3189" s="27"/>
    </row>
    <row r="3190">
      <c r="A3190" s="28"/>
      <c r="B3190" s="1"/>
      <c r="C3190" s="29"/>
      <c r="D3190" s="27"/>
      <c r="E3190" s="27"/>
      <c r="F3190" s="27"/>
    </row>
    <row r="3191">
      <c r="A3191" s="28"/>
      <c r="B3191" s="1"/>
      <c r="C3191" s="29"/>
      <c r="D3191" s="27"/>
      <c r="E3191" s="27"/>
      <c r="F3191" s="27"/>
    </row>
    <row r="3192">
      <c r="A3192" s="28"/>
      <c r="B3192" s="1"/>
      <c r="C3192" s="29"/>
      <c r="D3192" s="27"/>
      <c r="E3192" s="27"/>
      <c r="F3192" s="27"/>
    </row>
    <row r="3193">
      <c r="A3193" s="28"/>
      <c r="B3193" s="1"/>
      <c r="C3193" s="29"/>
      <c r="D3193" s="27"/>
      <c r="E3193" s="27"/>
      <c r="F3193" s="27"/>
    </row>
    <row r="3194">
      <c r="A3194" s="28"/>
      <c r="B3194" s="1"/>
      <c r="C3194" s="29"/>
      <c r="D3194" s="27"/>
      <c r="E3194" s="27"/>
      <c r="F3194" s="27"/>
    </row>
    <row r="3195">
      <c r="A3195" s="28"/>
      <c r="B3195" s="1"/>
      <c r="C3195" s="29"/>
      <c r="D3195" s="27"/>
      <c r="E3195" s="27"/>
      <c r="F3195" s="27"/>
    </row>
    <row r="3196">
      <c r="A3196" s="28"/>
      <c r="B3196" s="1"/>
      <c r="C3196" s="29"/>
      <c r="D3196" s="27"/>
      <c r="E3196" s="27"/>
      <c r="F3196" s="27"/>
    </row>
    <row r="3197">
      <c r="A3197" s="28"/>
      <c r="B3197" s="1"/>
      <c r="C3197" s="29"/>
      <c r="D3197" s="27"/>
      <c r="E3197" s="27"/>
      <c r="F3197" s="27"/>
    </row>
    <row r="3198">
      <c r="A3198" s="28"/>
      <c r="B3198" s="1"/>
      <c r="C3198" s="29"/>
      <c r="D3198" s="27"/>
      <c r="E3198" s="27"/>
      <c r="F3198" s="27"/>
    </row>
    <row r="3199">
      <c r="A3199" s="28"/>
      <c r="B3199" s="1"/>
      <c r="C3199" s="29"/>
      <c r="D3199" s="27"/>
      <c r="E3199" s="27"/>
      <c r="F3199" s="27"/>
    </row>
    <row r="3200">
      <c r="A3200" s="28"/>
      <c r="B3200" s="1"/>
      <c r="C3200" s="29"/>
      <c r="D3200" s="27"/>
      <c r="E3200" s="27"/>
      <c r="F3200" s="27"/>
    </row>
    <row r="3201">
      <c r="A3201" s="28"/>
      <c r="B3201" s="1"/>
      <c r="C3201" s="29"/>
      <c r="D3201" s="27"/>
      <c r="E3201" s="27"/>
      <c r="F3201" s="27"/>
    </row>
    <row r="3202">
      <c r="A3202" s="28"/>
      <c r="B3202" s="1"/>
      <c r="C3202" s="29"/>
      <c r="D3202" s="27"/>
      <c r="E3202" s="27"/>
      <c r="F3202" s="27"/>
    </row>
    <row r="3203">
      <c r="A3203" s="28"/>
      <c r="B3203" s="1"/>
      <c r="C3203" s="29"/>
      <c r="D3203" s="27"/>
      <c r="E3203" s="27"/>
      <c r="F3203" s="27"/>
    </row>
    <row r="3204">
      <c r="A3204" s="28"/>
      <c r="B3204" s="1"/>
      <c r="C3204" s="29"/>
      <c r="D3204" s="27"/>
      <c r="E3204" s="27"/>
      <c r="F3204" s="27"/>
    </row>
    <row r="3205">
      <c r="A3205" s="28"/>
      <c r="B3205" s="1"/>
      <c r="C3205" s="29"/>
      <c r="D3205" s="27"/>
      <c r="E3205" s="27"/>
      <c r="F3205" s="27"/>
    </row>
    <row r="3206">
      <c r="A3206" s="28"/>
      <c r="B3206" s="1"/>
      <c r="C3206" s="29"/>
      <c r="D3206" s="27"/>
      <c r="E3206" s="27"/>
      <c r="F3206" s="27"/>
    </row>
    <row r="3207">
      <c r="A3207" s="28"/>
      <c r="B3207" s="1"/>
      <c r="C3207" s="29"/>
      <c r="D3207" s="27"/>
      <c r="E3207" s="27"/>
      <c r="F3207" s="27"/>
    </row>
    <row r="3208">
      <c r="A3208" s="28"/>
      <c r="B3208" s="1"/>
      <c r="C3208" s="29"/>
      <c r="D3208" s="27"/>
      <c r="E3208" s="27"/>
      <c r="F3208" s="27"/>
    </row>
    <row r="3209">
      <c r="A3209" s="28"/>
      <c r="B3209" s="1"/>
      <c r="C3209" s="29"/>
      <c r="D3209" s="27"/>
      <c r="E3209" s="27"/>
      <c r="F3209" s="27"/>
    </row>
    <row r="3210">
      <c r="A3210" s="28"/>
      <c r="B3210" s="1"/>
      <c r="C3210" s="29"/>
      <c r="D3210" s="27"/>
      <c r="E3210" s="27"/>
      <c r="F3210" s="27"/>
    </row>
    <row r="3211">
      <c r="A3211" s="28"/>
      <c r="B3211" s="1"/>
      <c r="C3211" s="29"/>
      <c r="D3211" s="27"/>
      <c r="E3211" s="27"/>
      <c r="F3211" s="27"/>
    </row>
    <row r="3212">
      <c r="A3212" s="28"/>
      <c r="B3212" s="1"/>
      <c r="C3212" s="29"/>
      <c r="D3212" s="27"/>
      <c r="E3212" s="27"/>
      <c r="F3212" s="27"/>
    </row>
    <row r="3213">
      <c r="A3213" s="28"/>
      <c r="B3213" s="1"/>
      <c r="C3213" s="29"/>
      <c r="D3213" s="27"/>
      <c r="E3213" s="27"/>
      <c r="F3213" s="27"/>
    </row>
    <row r="3214">
      <c r="A3214" s="28"/>
      <c r="B3214" s="1"/>
      <c r="C3214" s="29"/>
      <c r="D3214" s="27"/>
      <c r="E3214" s="27"/>
      <c r="F3214" s="27"/>
    </row>
    <row r="3215">
      <c r="A3215" s="28"/>
      <c r="B3215" s="1"/>
      <c r="C3215" s="29"/>
      <c r="D3215" s="27"/>
      <c r="E3215" s="27"/>
      <c r="F3215" s="27"/>
    </row>
    <row r="3216">
      <c r="A3216" s="28"/>
      <c r="B3216" s="1"/>
      <c r="C3216" s="29"/>
      <c r="D3216" s="27"/>
      <c r="E3216" s="27"/>
      <c r="F3216" s="27"/>
    </row>
    <row r="3217">
      <c r="A3217" s="28"/>
      <c r="B3217" s="1"/>
      <c r="C3217" s="29"/>
      <c r="D3217" s="27"/>
      <c r="E3217" s="27"/>
      <c r="F3217" s="27"/>
    </row>
    <row r="3218">
      <c r="A3218" s="28"/>
      <c r="B3218" s="1"/>
      <c r="C3218" s="29"/>
      <c r="D3218" s="27"/>
      <c r="E3218" s="27"/>
      <c r="F3218" s="27"/>
    </row>
    <row r="3219">
      <c r="A3219" s="28"/>
      <c r="B3219" s="1"/>
      <c r="C3219" s="29"/>
      <c r="D3219" s="27"/>
      <c r="E3219" s="27"/>
      <c r="F3219" s="27"/>
    </row>
    <row r="3220">
      <c r="A3220" s="28"/>
      <c r="B3220" s="1"/>
      <c r="C3220" s="29"/>
      <c r="D3220" s="27"/>
      <c r="E3220" s="27"/>
      <c r="F3220" s="27"/>
    </row>
    <row r="3221">
      <c r="A3221" s="28"/>
      <c r="B3221" s="1"/>
      <c r="C3221" s="29"/>
      <c r="D3221" s="27"/>
      <c r="E3221" s="27"/>
      <c r="F3221" s="27"/>
    </row>
    <row r="3222">
      <c r="A3222" s="28"/>
      <c r="B3222" s="1"/>
      <c r="C3222" s="29"/>
      <c r="D3222" s="27"/>
      <c r="E3222" s="27"/>
      <c r="F3222" s="27"/>
    </row>
    <row r="3223">
      <c r="A3223" s="28"/>
      <c r="B3223" s="1"/>
      <c r="C3223" s="29"/>
      <c r="D3223" s="27"/>
      <c r="E3223" s="27"/>
      <c r="F3223" s="27"/>
    </row>
    <row r="3224">
      <c r="A3224" s="28"/>
      <c r="B3224" s="1"/>
      <c r="C3224" s="29"/>
      <c r="D3224" s="27"/>
      <c r="E3224" s="27"/>
      <c r="F3224" s="27"/>
    </row>
    <row r="3225">
      <c r="A3225" s="28"/>
      <c r="B3225" s="1"/>
      <c r="C3225" s="29"/>
      <c r="D3225" s="27"/>
      <c r="E3225" s="27"/>
      <c r="F3225" s="27"/>
    </row>
    <row r="3226">
      <c r="A3226" s="28"/>
      <c r="B3226" s="1"/>
      <c r="C3226" s="29"/>
      <c r="D3226" s="27"/>
      <c r="E3226" s="27"/>
      <c r="F3226" s="27"/>
    </row>
    <row r="3227">
      <c r="A3227" s="28"/>
      <c r="B3227" s="1"/>
      <c r="C3227" s="29"/>
      <c r="D3227" s="27"/>
      <c r="E3227" s="27"/>
      <c r="F3227" s="27"/>
    </row>
    <row r="3228">
      <c r="A3228" s="28"/>
      <c r="B3228" s="1"/>
      <c r="C3228" s="29"/>
      <c r="D3228" s="27"/>
      <c r="E3228" s="27"/>
      <c r="F3228" s="27"/>
    </row>
    <row r="3229">
      <c r="A3229" s="28"/>
      <c r="B3229" s="1"/>
      <c r="C3229" s="29"/>
      <c r="D3229" s="27"/>
      <c r="E3229" s="27"/>
      <c r="F3229" s="27"/>
    </row>
    <row r="3230">
      <c r="A3230" s="28"/>
      <c r="B3230" s="1"/>
      <c r="C3230" s="29"/>
      <c r="D3230" s="27"/>
      <c r="E3230" s="27"/>
      <c r="F3230" s="27"/>
    </row>
    <row r="3231">
      <c r="A3231" s="28"/>
      <c r="B3231" s="1"/>
      <c r="C3231" s="29"/>
      <c r="D3231" s="27"/>
      <c r="E3231" s="27"/>
      <c r="F3231" s="27"/>
    </row>
    <row r="3232">
      <c r="A3232" s="28"/>
      <c r="B3232" s="1"/>
      <c r="C3232" s="29"/>
      <c r="D3232" s="27"/>
      <c r="E3232" s="27"/>
      <c r="F3232" s="27"/>
    </row>
    <row r="3233">
      <c r="A3233" s="28"/>
      <c r="B3233" s="1"/>
      <c r="C3233" s="29"/>
      <c r="D3233" s="27"/>
      <c r="E3233" s="27"/>
      <c r="F3233" s="27"/>
    </row>
    <row r="3234">
      <c r="A3234" s="28"/>
      <c r="B3234" s="1"/>
      <c r="C3234" s="29"/>
      <c r="D3234" s="27"/>
      <c r="E3234" s="27"/>
      <c r="F3234" s="27"/>
    </row>
    <row r="3235">
      <c r="A3235" s="28"/>
      <c r="B3235" s="1"/>
      <c r="C3235" s="29"/>
      <c r="D3235" s="27"/>
      <c r="E3235" s="27"/>
      <c r="F3235" s="27"/>
    </row>
    <row r="3236">
      <c r="A3236" s="28"/>
      <c r="B3236" s="1"/>
      <c r="C3236" s="29"/>
      <c r="D3236" s="27"/>
      <c r="E3236" s="27"/>
      <c r="F3236" s="27"/>
    </row>
    <row r="3237">
      <c r="A3237" s="28"/>
      <c r="B3237" s="1"/>
      <c r="C3237" s="29"/>
      <c r="D3237" s="27"/>
      <c r="E3237" s="27"/>
      <c r="F3237" s="27"/>
    </row>
    <row r="3238">
      <c r="A3238" s="28"/>
      <c r="B3238" s="1"/>
      <c r="C3238" s="29"/>
      <c r="D3238" s="27"/>
      <c r="E3238" s="27"/>
      <c r="F3238" s="27"/>
    </row>
    <row r="3239">
      <c r="A3239" s="28"/>
      <c r="B3239" s="1"/>
      <c r="C3239" s="29"/>
      <c r="D3239" s="27"/>
      <c r="E3239" s="27"/>
      <c r="F3239" s="27"/>
    </row>
    <row r="3240">
      <c r="A3240" s="28"/>
      <c r="B3240" s="1"/>
      <c r="C3240" s="29"/>
      <c r="D3240" s="27"/>
      <c r="E3240" s="27"/>
      <c r="F3240" s="27"/>
    </row>
    <row r="3241">
      <c r="A3241" s="28"/>
      <c r="B3241" s="1"/>
      <c r="C3241" s="29"/>
      <c r="D3241" s="27"/>
      <c r="E3241" s="27"/>
      <c r="F3241" s="27"/>
    </row>
    <row r="3242">
      <c r="A3242" s="28"/>
      <c r="B3242" s="1"/>
      <c r="C3242" s="29"/>
      <c r="D3242" s="27"/>
      <c r="E3242" s="27"/>
      <c r="F3242" s="27"/>
    </row>
    <row r="3243">
      <c r="A3243" s="28"/>
      <c r="B3243" s="1"/>
      <c r="C3243" s="29"/>
      <c r="D3243" s="27"/>
      <c r="E3243" s="27"/>
      <c r="F3243" s="27"/>
    </row>
    <row r="3244">
      <c r="A3244" s="28"/>
      <c r="B3244" s="1"/>
      <c r="C3244" s="29"/>
      <c r="D3244" s="27"/>
      <c r="E3244" s="27"/>
      <c r="F3244" s="27"/>
    </row>
    <row r="3245">
      <c r="A3245" s="28"/>
      <c r="B3245" s="1"/>
      <c r="C3245" s="29"/>
      <c r="D3245" s="27"/>
      <c r="E3245" s="27"/>
      <c r="F3245" s="27"/>
    </row>
    <row r="3246">
      <c r="A3246" s="28"/>
      <c r="B3246" s="1"/>
      <c r="C3246" s="29"/>
      <c r="D3246" s="27"/>
      <c r="E3246" s="27"/>
      <c r="F3246" s="27"/>
    </row>
    <row r="3247">
      <c r="A3247" s="28"/>
      <c r="B3247" s="1"/>
      <c r="C3247" s="29"/>
      <c r="D3247" s="27"/>
      <c r="E3247" s="27"/>
      <c r="F3247" s="27"/>
    </row>
    <row r="3248">
      <c r="A3248" s="28"/>
      <c r="B3248" s="1"/>
      <c r="C3248" s="29"/>
      <c r="D3248" s="27"/>
      <c r="E3248" s="27"/>
      <c r="F3248" s="27"/>
    </row>
    <row r="3249">
      <c r="A3249" s="28"/>
      <c r="B3249" s="1"/>
      <c r="C3249" s="29"/>
      <c r="D3249" s="27"/>
      <c r="E3249" s="27"/>
      <c r="F3249" s="27"/>
    </row>
    <row r="3250">
      <c r="A3250" s="28"/>
      <c r="B3250" s="1"/>
      <c r="C3250" s="29"/>
      <c r="D3250" s="27"/>
      <c r="E3250" s="27"/>
      <c r="F3250" s="27"/>
    </row>
    <row r="3251">
      <c r="A3251" s="28"/>
      <c r="B3251" s="1"/>
      <c r="C3251" s="29"/>
      <c r="D3251" s="27"/>
      <c r="E3251" s="27"/>
      <c r="F3251" s="27"/>
    </row>
    <row r="3252">
      <c r="A3252" s="28"/>
      <c r="B3252" s="1"/>
      <c r="C3252" s="29"/>
      <c r="D3252" s="27"/>
      <c r="E3252" s="27"/>
      <c r="F3252" s="27"/>
    </row>
    <row r="3253">
      <c r="A3253" s="28"/>
      <c r="B3253" s="1"/>
      <c r="C3253" s="29"/>
      <c r="D3253" s="27"/>
      <c r="E3253" s="27"/>
      <c r="F3253" s="27"/>
    </row>
    <row r="3254">
      <c r="A3254" s="28"/>
      <c r="B3254" s="1"/>
      <c r="C3254" s="29"/>
      <c r="D3254" s="27"/>
      <c r="E3254" s="27"/>
      <c r="F3254" s="27"/>
    </row>
    <row r="3255">
      <c r="A3255" s="28"/>
      <c r="B3255" s="1"/>
      <c r="C3255" s="29"/>
      <c r="D3255" s="27"/>
      <c r="E3255" s="27"/>
      <c r="F3255" s="27"/>
    </row>
    <row r="3256">
      <c r="A3256" s="28"/>
      <c r="B3256" s="1"/>
      <c r="C3256" s="29"/>
      <c r="D3256" s="27"/>
      <c r="E3256" s="27"/>
      <c r="F3256" s="27"/>
    </row>
    <row r="3257">
      <c r="A3257" s="28"/>
      <c r="B3257" s="1"/>
      <c r="C3257" s="29"/>
      <c r="D3257" s="27"/>
      <c r="E3257" s="27"/>
      <c r="F3257" s="27"/>
    </row>
    <row r="3258">
      <c r="A3258" s="28"/>
      <c r="B3258" s="1"/>
      <c r="C3258" s="29"/>
      <c r="D3258" s="27"/>
      <c r="E3258" s="27"/>
      <c r="F3258" s="27"/>
    </row>
    <row r="3259">
      <c r="A3259" s="28"/>
      <c r="B3259" s="1"/>
      <c r="C3259" s="29"/>
      <c r="D3259" s="27"/>
      <c r="E3259" s="27"/>
      <c r="F3259" s="27"/>
    </row>
    <row r="3260">
      <c r="A3260" s="28"/>
      <c r="B3260" s="1"/>
      <c r="C3260" s="29"/>
      <c r="D3260" s="27"/>
      <c r="E3260" s="27"/>
      <c r="F3260" s="27"/>
    </row>
    <row r="3261">
      <c r="A3261" s="28"/>
      <c r="B3261" s="1"/>
      <c r="C3261" s="29"/>
      <c r="D3261" s="27"/>
      <c r="E3261" s="27"/>
      <c r="F3261" s="27"/>
    </row>
    <row r="3262">
      <c r="A3262" s="28"/>
      <c r="B3262" s="1"/>
      <c r="C3262" s="29"/>
      <c r="D3262" s="27"/>
      <c r="E3262" s="27"/>
      <c r="F3262" s="27"/>
    </row>
    <row r="3263">
      <c r="A3263" s="28"/>
      <c r="B3263" s="1"/>
      <c r="C3263" s="29"/>
      <c r="D3263" s="27"/>
      <c r="E3263" s="27"/>
      <c r="F3263" s="27"/>
    </row>
    <row r="3264">
      <c r="A3264" s="28"/>
      <c r="B3264" s="1"/>
      <c r="C3264" s="29"/>
      <c r="D3264" s="27"/>
      <c r="E3264" s="27"/>
      <c r="F3264" s="27"/>
    </row>
    <row r="3265">
      <c r="A3265" s="28"/>
      <c r="B3265" s="1"/>
      <c r="C3265" s="29"/>
      <c r="D3265" s="27"/>
      <c r="E3265" s="27"/>
      <c r="F3265" s="27"/>
    </row>
    <row r="3266">
      <c r="A3266" s="28"/>
      <c r="B3266" s="1"/>
      <c r="C3266" s="29"/>
      <c r="D3266" s="27"/>
      <c r="E3266" s="27"/>
      <c r="F3266" s="27"/>
    </row>
    <row r="3267">
      <c r="A3267" s="28"/>
      <c r="B3267" s="1"/>
      <c r="C3267" s="29"/>
      <c r="D3267" s="27"/>
      <c r="E3267" s="27"/>
      <c r="F3267" s="27"/>
    </row>
    <row r="3268">
      <c r="A3268" s="28"/>
      <c r="B3268" s="1"/>
      <c r="C3268" s="29"/>
      <c r="D3268" s="27"/>
      <c r="E3268" s="27"/>
      <c r="F3268" s="27"/>
    </row>
    <row r="3269">
      <c r="A3269" s="28"/>
      <c r="B3269" s="1"/>
      <c r="C3269" s="29"/>
      <c r="D3269" s="27"/>
      <c r="E3269" s="27"/>
      <c r="F3269" s="27"/>
    </row>
    <row r="3270">
      <c r="A3270" s="28"/>
      <c r="B3270" s="1"/>
      <c r="C3270" s="29"/>
      <c r="D3270" s="27"/>
      <c r="E3270" s="27"/>
      <c r="F3270" s="27"/>
    </row>
    <row r="3271">
      <c r="A3271" s="28"/>
      <c r="B3271" s="1"/>
      <c r="C3271" s="29"/>
      <c r="D3271" s="27"/>
      <c r="E3271" s="27"/>
      <c r="F3271" s="27"/>
    </row>
    <row r="3272">
      <c r="A3272" s="28"/>
      <c r="B3272" s="1"/>
      <c r="C3272" s="29"/>
      <c r="D3272" s="27"/>
      <c r="E3272" s="27"/>
      <c r="F3272" s="27"/>
    </row>
    <row r="3273">
      <c r="A3273" s="28"/>
      <c r="B3273" s="1"/>
      <c r="C3273" s="29"/>
      <c r="D3273" s="27"/>
      <c r="E3273" s="27"/>
      <c r="F3273" s="27"/>
    </row>
    <row r="3274">
      <c r="A3274" s="28"/>
      <c r="B3274" s="1"/>
      <c r="C3274" s="29"/>
      <c r="D3274" s="27"/>
      <c r="E3274" s="27"/>
      <c r="F3274" s="27"/>
    </row>
    <row r="3275">
      <c r="A3275" s="28"/>
      <c r="B3275" s="1"/>
      <c r="C3275" s="29"/>
      <c r="D3275" s="27"/>
      <c r="E3275" s="27"/>
      <c r="F3275" s="27"/>
    </row>
    <row r="3276">
      <c r="A3276" s="28"/>
      <c r="B3276" s="1"/>
      <c r="C3276" s="29"/>
      <c r="D3276" s="27"/>
      <c r="E3276" s="27"/>
      <c r="F3276" s="27"/>
    </row>
    <row r="3277">
      <c r="A3277" s="28"/>
      <c r="B3277" s="1"/>
      <c r="C3277" s="29"/>
      <c r="D3277" s="27"/>
      <c r="E3277" s="27"/>
      <c r="F3277" s="27"/>
    </row>
    <row r="3278">
      <c r="A3278" s="28"/>
      <c r="B3278" s="1"/>
      <c r="C3278" s="29"/>
      <c r="D3278" s="27"/>
      <c r="E3278" s="27"/>
      <c r="F3278" s="27"/>
    </row>
    <row r="3279">
      <c r="A3279" s="28"/>
      <c r="B3279" s="1"/>
      <c r="C3279" s="29"/>
      <c r="D3279" s="27"/>
      <c r="E3279" s="27"/>
      <c r="F3279" s="27"/>
    </row>
    <row r="3280">
      <c r="A3280" s="28"/>
      <c r="B3280" s="1"/>
      <c r="C3280" s="29"/>
      <c r="D3280" s="27"/>
      <c r="E3280" s="27"/>
      <c r="F3280" s="27"/>
    </row>
    <row r="3281">
      <c r="A3281" s="28"/>
      <c r="B3281" s="1"/>
      <c r="C3281" s="29"/>
      <c r="D3281" s="27"/>
      <c r="E3281" s="27"/>
      <c r="F3281" s="27"/>
    </row>
    <row r="3282">
      <c r="A3282" s="28"/>
      <c r="B3282" s="1"/>
      <c r="C3282" s="29"/>
      <c r="D3282" s="27"/>
      <c r="E3282" s="27"/>
      <c r="F3282" s="27"/>
    </row>
    <row r="3283">
      <c r="A3283" s="28"/>
      <c r="B3283" s="1"/>
      <c r="C3283" s="29"/>
      <c r="D3283" s="27"/>
      <c r="E3283" s="27"/>
      <c r="F3283" s="27"/>
    </row>
    <row r="3284">
      <c r="A3284" s="28"/>
      <c r="B3284" s="1"/>
      <c r="C3284" s="29"/>
      <c r="D3284" s="27"/>
      <c r="E3284" s="27"/>
      <c r="F3284" s="27"/>
    </row>
    <row r="3285">
      <c r="A3285" s="28"/>
      <c r="B3285" s="1"/>
      <c r="C3285" s="29"/>
      <c r="D3285" s="27"/>
      <c r="E3285" s="27"/>
      <c r="F3285" s="27"/>
    </row>
    <row r="3286">
      <c r="A3286" s="28"/>
      <c r="B3286" s="1"/>
      <c r="C3286" s="29"/>
      <c r="D3286" s="27"/>
      <c r="E3286" s="27"/>
      <c r="F3286" s="27"/>
    </row>
    <row r="3287">
      <c r="A3287" s="28"/>
      <c r="B3287" s="1"/>
      <c r="C3287" s="29"/>
      <c r="D3287" s="27"/>
      <c r="E3287" s="27"/>
      <c r="F3287" s="27"/>
    </row>
    <row r="3288">
      <c r="A3288" s="28"/>
      <c r="B3288" s="1"/>
      <c r="C3288" s="29"/>
      <c r="D3288" s="27"/>
      <c r="E3288" s="27"/>
      <c r="F3288" s="27"/>
    </row>
    <row r="3289">
      <c r="A3289" s="28"/>
      <c r="B3289" s="1"/>
      <c r="C3289" s="29"/>
      <c r="D3289" s="27"/>
      <c r="E3289" s="27"/>
      <c r="F3289" s="27"/>
    </row>
    <row r="3290">
      <c r="A3290" s="28"/>
      <c r="B3290" s="1"/>
      <c r="C3290" s="29"/>
      <c r="D3290" s="27"/>
      <c r="E3290" s="27"/>
      <c r="F3290" s="27"/>
    </row>
    <row r="3291">
      <c r="A3291" s="28"/>
      <c r="B3291" s="1"/>
      <c r="C3291" s="29"/>
      <c r="D3291" s="27"/>
      <c r="E3291" s="27"/>
      <c r="F3291" s="27"/>
    </row>
    <row r="3292">
      <c r="A3292" s="28"/>
      <c r="B3292" s="1"/>
      <c r="C3292" s="29"/>
      <c r="D3292" s="27"/>
      <c r="E3292" s="27"/>
      <c r="F3292" s="27"/>
    </row>
    <row r="3293">
      <c r="A3293" s="28"/>
      <c r="B3293" s="1"/>
      <c r="C3293" s="29"/>
      <c r="D3293" s="27"/>
      <c r="E3293" s="27"/>
      <c r="F3293" s="27"/>
    </row>
    <row r="3294">
      <c r="A3294" s="28"/>
      <c r="B3294" s="1"/>
      <c r="C3294" s="29"/>
      <c r="D3294" s="27"/>
      <c r="E3294" s="27"/>
      <c r="F3294" s="27"/>
    </row>
    <row r="3295">
      <c r="A3295" s="28"/>
      <c r="B3295" s="1"/>
      <c r="C3295" s="29"/>
      <c r="D3295" s="27"/>
      <c r="E3295" s="27"/>
      <c r="F3295" s="27"/>
    </row>
    <row r="3296">
      <c r="A3296" s="28"/>
      <c r="B3296" s="1"/>
      <c r="C3296" s="29"/>
      <c r="D3296" s="27"/>
      <c r="E3296" s="27"/>
      <c r="F3296" s="27"/>
    </row>
    <row r="3297">
      <c r="A3297" s="28"/>
      <c r="B3297" s="1"/>
      <c r="C3297" s="29"/>
      <c r="D3297" s="27"/>
      <c r="E3297" s="27"/>
      <c r="F3297" s="27"/>
    </row>
    <row r="3298">
      <c r="A3298" s="28"/>
      <c r="B3298" s="1"/>
      <c r="C3298" s="29"/>
      <c r="D3298" s="27"/>
      <c r="E3298" s="27"/>
      <c r="F3298" s="27"/>
    </row>
    <row r="3299">
      <c r="A3299" s="28"/>
      <c r="B3299" s="1"/>
      <c r="C3299" s="29"/>
      <c r="D3299" s="27"/>
      <c r="E3299" s="27"/>
      <c r="F3299" s="27"/>
    </row>
    <row r="3300">
      <c r="A3300" s="28"/>
      <c r="B3300" s="1"/>
      <c r="C3300" s="29"/>
      <c r="D3300" s="27"/>
      <c r="E3300" s="27"/>
      <c r="F3300" s="27"/>
    </row>
    <row r="3301">
      <c r="A3301" s="28"/>
      <c r="B3301" s="1"/>
      <c r="C3301" s="29"/>
      <c r="D3301" s="27"/>
      <c r="E3301" s="27"/>
      <c r="F3301" s="27"/>
    </row>
    <row r="3302">
      <c r="A3302" s="28"/>
      <c r="B3302" s="1"/>
      <c r="C3302" s="29"/>
      <c r="D3302" s="27"/>
      <c r="E3302" s="27"/>
      <c r="F3302" s="27"/>
    </row>
    <row r="3303">
      <c r="A3303" s="28"/>
      <c r="B3303" s="1"/>
      <c r="C3303" s="29"/>
      <c r="D3303" s="27"/>
      <c r="E3303" s="27"/>
      <c r="F3303" s="27"/>
    </row>
    <row r="3304">
      <c r="A3304" s="28"/>
      <c r="B3304" s="1"/>
      <c r="C3304" s="29"/>
      <c r="D3304" s="27"/>
      <c r="E3304" s="27"/>
      <c r="F3304" s="27"/>
    </row>
    <row r="3305">
      <c r="A3305" s="28"/>
      <c r="B3305" s="1"/>
      <c r="C3305" s="29"/>
      <c r="D3305" s="27"/>
      <c r="E3305" s="27"/>
      <c r="F3305" s="27"/>
    </row>
    <row r="3306">
      <c r="A3306" s="28"/>
      <c r="B3306" s="1"/>
      <c r="C3306" s="29"/>
      <c r="D3306" s="27"/>
      <c r="E3306" s="27"/>
      <c r="F3306" s="27"/>
    </row>
    <row r="3307">
      <c r="A3307" s="28"/>
      <c r="B3307" s="1"/>
      <c r="C3307" s="29"/>
      <c r="D3307" s="27"/>
      <c r="E3307" s="27"/>
      <c r="F3307" s="27"/>
    </row>
    <row r="3308">
      <c r="A3308" s="28"/>
      <c r="B3308" s="1"/>
      <c r="C3308" s="29"/>
      <c r="D3308" s="27"/>
      <c r="E3308" s="27"/>
      <c r="F3308" s="27"/>
    </row>
    <row r="3309">
      <c r="A3309" s="28"/>
      <c r="B3309" s="1"/>
      <c r="C3309" s="29"/>
      <c r="D3309" s="27"/>
      <c r="E3309" s="27"/>
      <c r="F3309" s="27"/>
    </row>
    <row r="3310">
      <c r="A3310" s="28"/>
      <c r="B3310" s="1"/>
      <c r="C3310" s="29"/>
      <c r="D3310" s="27"/>
      <c r="E3310" s="27"/>
      <c r="F3310" s="27"/>
    </row>
    <row r="3311">
      <c r="A3311" s="28"/>
      <c r="B3311" s="1"/>
      <c r="C3311" s="29"/>
      <c r="D3311" s="27"/>
      <c r="E3311" s="27"/>
      <c r="F3311" s="27"/>
    </row>
    <row r="3312">
      <c r="A3312" s="28"/>
      <c r="B3312" s="1"/>
      <c r="C3312" s="29"/>
      <c r="D3312" s="27"/>
      <c r="E3312" s="27"/>
      <c r="F3312" s="27"/>
    </row>
    <row r="3313">
      <c r="A3313" s="28"/>
      <c r="B3313" s="1"/>
      <c r="C3313" s="29"/>
      <c r="D3313" s="27"/>
      <c r="E3313" s="27"/>
      <c r="F3313" s="27"/>
    </row>
    <row r="3314">
      <c r="A3314" s="28"/>
      <c r="B3314" s="1"/>
      <c r="C3314" s="29"/>
      <c r="D3314" s="27"/>
      <c r="E3314" s="27"/>
      <c r="F3314" s="27"/>
    </row>
    <row r="3315">
      <c r="A3315" s="28"/>
      <c r="B3315" s="1"/>
      <c r="C3315" s="29"/>
      <c r="D3315" s="27"/>
      <c r="E3315" s="27"/>
      <c r="F3315" s="27"/>
    </row>
    <row r="3316">
      <c r="A3316" s="28"/>
      <c r="B3316" s="1"/>
      <c r="C3316" s="29"/>
      <c r="D3316" s="27"/>
      <c r="E3316" s="27"/>
      <c r="F3316" s="27"/>
    </row>
    <row r="3317">
      <c r="A3317" s="28"/>
      <c r="B3317" s="1"/>
      <c r="C3317" s="29"/>
      <c r="D3317" s="27"/>
      <c r="E3317" s="27"/>
      <c r="F3317" s="27"/>
    </row>
    <row r="3318">
      <c r="A3318" s="28"/>
      <c r="B3318" s="1"/>
      <c r="C3318" s="29"/>
      <c r="D3318" s="27"/>
      <c r="E3318" s="27"/>
      <c r="F3318" s="27"/>
    </row>
    <row r="3319">
      <c r="A3319" s="28"/>
      <c r="B3319" s="1"/>
      <c r="C3319" s="29"/>
      <c r="D3319" s="27"/>
      <c r="E3319" s="27"/>
      <c r="F3319" s="27"/>
    </row>
    <row r="3320">
      <c r="A3320" s="28"/>
      <c r="B3320" s="1"/>
      <c r="C3320" s="29"/>
      <c r="D3320" s="27"/>
      <c r="E3320" s="27"/>
      <c r="F3320" s="27"/>
    </row>
    <row r="3321">
      <c r="A3321" s="28"/>
      <c r="B3321" s="1"/>
      <c r="C3321" s="29"/>
      <c r="D3321" s="27"/>
      <c r="E3321" s="27"/>
      <c r="F3321" s="27"/>
    </row>
    <row r="3322">
      <c r="A3322" s="28"/>
      <c r="B3322" s="1"/>
      <c r="C3322" s="29"/>
      <c r="D3322" s="27"/>
      <c r="E3322" s="27"/>
      <c r="F3322" s="27"/>
    </row>
    <row r="3323">
      <c r="A3323" s="28"/>
      <c r="B3323" s="1"/>
      <c r="C3323" s="29"/>
      <c r="D3323" s="27"/>
      <c r="E3323" s="27"/>
      <c r="F3323" s="27"/>
    </row>
    <row r="3324">
      <c r="A3324" s="28"/>
      <c r="B3324" s="1"/>
      <c r="C3324" s="29"/>
      <c r="D3324" s="27"/>
      <c r="E3324" s="27"/>
      <c r="F3324" s="27"/>
    </row>
    <row r="3325">
      <c r="A3325" s="28"/>
      <c r="B3325" s="1"/>
      <c r="C3325" s="29"/>
      <c r="D3325" s="27"/>
      <c r="E3325" s="27"/>
      <c r="F3325" s="27"/>
    </row>
    <row r="3326">
      <c r="A3326" s="28"/>
      <c r="B3326" s="1"/>
      <c r="C3326" s="29"/>
      <c r="D3326" s="27"/>
      <c r="E3326" s="27"/>
      <c r="F3326" s="27"/>
    </row>
    <row r="3327">
      <c r="A3327" s="28"/>
      <c r="B3327" s="1"/>
      <c r="C3327" s="29"/>
      <c r="D3327" s="27"/>
      <c r="E3327" s="27"/>
      <c r="F3327" s="27"/>
    </row>
    <row r="3328">
      <c r="A3328" s="28"/>
      <c r="B3328" s="1"/>
      <c r="C3328" s="29"/>
      <c r="D3328" s="27"/>
      <c r="E3328" s="27"/>
      <c r="F3328" s="27"/>
    </row>
    <row r="3329">
      <c r="A3329" s="28"/>
      <c r="B3329" s="1"/>
      <c r="C3329" s="29"/>
      <c r="D3329" s="27"/>
      <c r="E3329" s="27"/>
      <c r="F3329" s="27"/>
    </row>
    <row r="3330">
      <c r="A3330" s="28"/>
      <c r="B3330" s="1"/>
      <c r="C3330" s="29"/>
      <c r="D3330" s="27"/>
      <c r="E3330" s="27"/>
      <c r="F3330" s="27"/>
    </row>
    <row r="3331">
      <c r="A3331" s="28"/>
      <c r="B3331" s="1"/>
      <c r="C3331" s="29"/>
      <c r="D3331" s="27"/>
      <c r="E3331" s="27"/>
      <c r="F3331" s="27"/>
    </row>
    <row r="3332">
      <c r="A3332" s="28"/>
      <c r="B3332" s="1"/>
      <c r="C3332" s="29"/>
      <c r="D3332" s="27"/>
      <c r="E3332" s="27"/>
      <c r="F3332" s="27"/>
    </row>
    <row r="3333">
      <c r="A3333" s="28"/>
      <c r="B3333" s="1"/>
      <c r="C3333" s="29"/>
      <c r="D3333" s="27"/>
      <c r="E3333" s="27"/>
      <c r="F3333" s="27"/>
    </row>
    <row r="3334">
      <c r="A3334" s="28"/>
      <c r="B3334" s="1"/>
      <c r="C3334" s="29"/>
      <c r="D3334" s="27"/>
      <c r="E3334" s="27"/>
      <c r="F3334" s="27"/>
    </row>
    <row r="3335">
      <c r="A3335" s="28"/>
      <c r="B3335" s="1"/>
      <c r="C3335" s="29"/>
      <c r="D3335" s="27"/>
      <c r="E3335" s="27"/>
      <c r="F3335" s="27"/>
    </row>
    <row r="3336">
      <c r="A3336" s="28"/>
      <c r="B3336" s="1"/>
      <c r="C3336" s="29"/>
      <c r="D3336" s="27"/>
      <c r="E3336" s="27"/>
      <c r="F3336" s="27"/>
    </row>
    <row r="3337">
      <c r="A3337" s="28"/>
      <c r="B3337" s="1"/>
      <c r="C3337" s="29"/>
      <c r="D3337" s="27"/>
      <c r="E3337" s="27"/>
      <c r="F3337" s="27"/>
    </row>
    <row r="3338">
      <c r="A3338" s="28"/>
      <c r="B3338" s="1"/>
      <c r="C3338" s="29"/>
      <c r="D3338" s="27"/>
      <c r="E3338" s="27"/>
      <c r="F3338" s="27"/>
    </row>
    <row r="3339">
      <c r="A3339" s="28"/>
      <c r="B3339" s="1"/>
      <c r="C3339" s="29"/>
      <c r="D3339" s="27"/>
      <c r="E3339" s="27"/>
      <c r="F3339" s="27"/>
    </row>
    <row r="3340">
      <c r="A3340" s="28"/>
      <c r="B3340" s="1"/>
      <c r="C3340" s="29"/>
      <c r="D3340" s="27"/>
      <c r="E3340" s="27"/>
      <c r="F3340" s="27"/>
    </row>
    <row r="3341">
      <c r="A3341" s="28"/>
      <c r="B3341" s="1"/>
      <c r="C3341" s="29"/>
      <c r="D3341" s="27"/>
      <c r="E3341" s="27"/>
      <c r="F3341" s="27"/>
    </row>
    <row r="3342">
      <c r="A3342" s="28"/>
      <c r="B3342" s="1"/>
      <c r="C3342" s="29"/>
      <c r="D3342" s="27"/>
      <c r="E3342" s="27"/>
      <c r="F3342" s="27"/>
    </row>
    <row r="3343">
      <c r="A3343" s="28"/>
      <c r="B3343" s="1"/>
      <c r="C3343" s="29"/>
      <c r="D3343" s="27"/>
      <c r="E3343" s="27"/>
      <c r="F3343" s="27"/>
    </row>
    <row r="3344">
      <c r="A3344" s="28"/>
      <c r="B3344" s="1"/>
      <c r="C3344" s="29"/>
      <c r="D3344" s="27"/>
      <c r="E3344" s="27"/>
      <c r="F3344" s="27"/>
    </row>
    <row r="3345">
      <c r="A3345" s="28"/>
      <c r="B3345" s="1"/>
      <c r="C3345" s="29"/>
      <c r="D3345" s="27"/>
      <c r="E3345" s="27"/>
      <c r="F3345" s="27"/>
    </row>
    <row r="3346">
      <c r="A3346" s="28"/>
      <c r="B3346" s="1"/>
      <c r="C3346" s="29"/>
      <c r="D3346" s="27"/>
      <c r="E3346" s="27"/>
      <c r="F3346" s="27"/>
    </row>
    <row r="3347">
      <c r="A3347" s="28"/>
      <c r="B3347" s="1"/>
      <c r="C3347" s="29"/>
      <c r="D3347" s="27"/>
      <c r="E3347" s="27"/>
      <c r="F3347" s="27"/>
    </row>
    <row r="3348">
      <c r="A3348" s="28"/>
      <c r="B3348" s="1"/>
      <c r="C3348" s="29"/>
      <c r="D3348" s="27"/>
      <c r="E3348" s="27"/>
      <c r="F3348" s="27"/>
    </row>
    <row r="3349">
      <c r="A3349" s="28"/>
      <c r="B3349" s="1"/>
      <c r="C3349" s="29"/>
      <c r="D3349" s="27"/>
      <c r="E3349" s="27"/>
      <c r="F3349" s="27"/>
    </row>
    <row r="3350">
      <c r="A3350" s="28"/>
      <c r="B3350" s="1"/>
      <c r="C3350" s="29"/>
      <c r="D3350" s="27"/>
      <c r="E3350" s="27"/>
      <c r="F3350" s="27"/>
    </row>
    <row r="3351">
      <c r="A3351" s="28"/>
      <c r="B3351" s="1"/>
      <c r="C3351" s="29"/>
      <c r="D3351" s="27"/>
      <c r="E3351" s="27"/>
      <c r="F3351" s="27"/>
    </row>
    <row r="3352">
      <c r="A3352" s="28"/>
      <c r="B3352" s="1"/>
      <c r="C3352" s="29"/>
      <c r="D3352" s="27"/>
      <c r="E3352" s="27"/>
      <c r="F3352" s="27"/>
    </row>
    <row r="3353">
      <c r="A3353" s="28"/>
      <c r="B3353" s="1"/>
      <c r="C3353" s="29"/>
      <c r="D3353" s="27"/>
      <c r="E3353" s="27"/>
      <c r="F3353" s="27"/>
    </row>
    <row r="3354">
      <c r="A3354" s="28"/>
      <c r="B3354" s="1"/>
      <c r="C3354" s="29"/>
      <c r="D3354" s="27"/>
      <c r="E3354" s="27"/>
      <c r="F3354" s="27"/>
    </row>
    <row r="3355">
      <c r="A3355" s="28"/>
      <c r="B3355" s="1"/>
      <c r="C3355" s="29"/>
      <c r="D3355" s="27"/>
      <c r="E3355" s="27"/>
      <c r="F3355" s="27"/>
    </row>
    <row r="3356">
      <c r="A3356" s="28"/>
      <c r="B3356" s="1"/>
      <c r="C3356" s="29"/>
      <c r="D3356" s="27"/>
      <c r="E3356" s="27"/>
      <c r="F3356" s="27"/>
    </row>
    <row r="3357">
      <c r="A3357" s="28"/>
      <c r="B3357" s="1"/>
      <c r="C3357" s="29"/>
      <c r="D3357" s="27"/>
      <c r="E3357" s="27"/>
      <c r="F3357" s="27"/>
    </row>
    <row r="3358">
      <c r="A3358" s="28"/>
      <c r="B3358" s="1"/>
      <c r="C3358" s="29"/>
      <c r="D3358" s="27"/>
      <c r="E3358" s="27"/>
      <c r="F3358" s="27"/>
    </row>
    <row r="3359">
      <c r="A3359" s="28"/>
      <c r="B3359" s="1"/>
      <c r="C3359" s="29"/>
      <c r="D3359" s="27"/>
      <c r="E3359" s="27"/>
      <c r="F3359" s="27"/>
    </row>
    <row r="3360">
      <c r="A3360" s="28"/>
      <c r="B3360" s="1"/>
      <c r="C3360" s="29"/>
      <c r="D3360" s="27"/>
      <c r="E3360" s="27"/>
      <c r="F3360" s="27"/>
    </row>
    <row r="3361">
      <c r="A3361" s="28"/>
      <c r="B3361" s="1"/>
      <c r="C3361" s="29"/>
      <c r="D3361" s="27"/>
      <c r="E3361" s="27"/>
      <c r="F3361" s="27"/>
    </row>
    <row r="3362">
      <c r="A3362" s="28"/>
      <c r="B3362" s="1"/>
      <c r="C3362" s="29"/>
      <c r="D3362" s="27"/>
      <c r="E3362" s="27"/>
      <c r="F3362" s="27"/>
    </row>
    <row r="3363">
      <c r="A3363" s="28"/>
      <c r="B3363" s="1"/>
      <c r="C3363" s="29"/>
      <c r="D3363" s="27"/>
      <c r="E3363" s="27"/>
      <c r="F3363" s="27"/>
    </row>
    <row r="3364">
      <c r="A3364" s="28"/>
      <c r="B3364" s="1"/>
      <c r="C3364" s="29"/>
      <c r="D3364" s="27"/>
      <c r="E3364" s="27"/>
      <c r="F3364" s="27"/>
    </row>
    <row r="3365">
      <c r="A3365" s="28"/>
      <c r="B3365" s="1"/>
      <c r="C3365" s="29"/>
      <c r="D3365" s="27"/>
      <c r="E3365" s="27"/>
      <c r="F3365" s="27"/>
    </row>
    <row r="3366">
      <c r="A3366" s="28"/>
      <c r="B3366" s="1"/>
      <c r="C3366" s="29"/>
      <c r="D3366" s="27"/>
      <c r="E3366" s="27"/>
      <c r="F3366" s="27"/>
    </row>
    <row r="3367">
      <c r="A3367" s="28"/>
      <c r="B3367" s="1"/>
      <c r="C3367" s="29"/>
      <c r="D3367" s="27"/>
      <c r="E3367" s="27"/>
      <c r="F3367" s="27"/>
    </row>
    <row r="3368">
      <c r="A3368" s="28"/>
      <c r="B3368" s="1"/>
      <c r="C3368" s="29"/>
      <c r="D3368" s="27"/>
      <c r="E3368" s="27"/>
      <c r="F3368" s="27"/>
    </row>
    <row r="3369">
      <c r="A3369" s="28"/>
      <c r="B3369" s="1"/>
      <c r="C3369" s="29"/>
      <c r="D3369" s="27"/>
      <c r="E3369" s="27"/>
      <c r="F3369" s="27"/>
    </row>
    <row r="3370">
      <c r="A3370" s="28"/>
      <c r="B3370" s="1"/>
      <c r="C3370" s="29"/>
      <c r="D3370" s="27"/>
      <c r="E3370" s="27"/>
      <c r="F3370" s="27"/>
    </row>
    <row r="3371">
      <c r="A3371" s="28"/>
      <c r="B3371" s="1"/>
      <c r="C3371" s="29"/>
      <c r="D3371" s="27"/>
      <c r="E3371" s="27"/>
      <c r="F3371" s="27"/>
    </row>
    <row r="3372">
      <c r="A3372" s="28"/>
      <c r="B3372" s="1"/>
      <c r="C3372" s="29"/>
      <c r="D3372" s="27"/>
      <c r="E3372" s="27"/>
      <c r="F3372" s="27"/>
    </row>
    <row r="3373">
      <c r="A3373" s="28"/>
      <c r="B3373" s="1"/>
      <c r="C3373" s="29"/>
      <c r="D3373" s="27"/>
      <c r="E3373" s="27"/>
      <c r="F3373" s="27"/>
    </row>
    <row r="3374">
      <c r="A3374" s="28"/>
      <c r="B3374" s="1"/>
      <c r="C3374" s="29"/>
      <c r="D3374" s="27"/>
      <c r="E3374" s="27"/>
      <c r="F3374" s="27"/>
    </row>
    <row r="3375">
      <c r="A3375" s="28"/>
      <c r="B3375" s="1"/>
      <c r="C3375" s="29"/>
      <c r="D3375" s="27"/>
      <c r="E3375" s="27"/>
      <c r="F3375" s="27"/>
    </row>
    <row r="3376">
      <c r="A3376" s="28"/>
      <c r="B3376" s="1"/>
      <c r="C3376" s="29"/>
      <c r="D3376" s="27"/>
      <c r="E3376" s="27"/>
      <c r="F3376" s="27"/>
    </row>
    <row r="3377">
      <c r="A3377" s="28"/>
      <c r="B3377" s="1"/>
      <c r="C3377" s="29"/>
      <c r="D3377" s="27"/>
      <c r="E3377" s="27"/>
      <c r="F3377" s="27"/>
    </row>
    <row r="3378">
      <c r="A3378" s="28"/>
      <c r="B3378" s="1"/>
      <c r="C3378" s="29"/>
      <c r="D3378" s="27"/>
      <c r="E3378" s="27"/>
      <c r="F3378" s="27"/>
    </row>
    <row r="3379">
      <c r="A3379" s="28"/>
      <c r="B3379" s="1"/>
      <c r="C3379" s="29"/>
      <c r="D3379" s="27"/>
      <c r="E3379" s="27"/>
      <c r="F3379" s="27"/>
    </row>
    <row r="3380">
      <c r="A3380" s="28"/>
      <c r="B3380" s="1"/>
      <c r="C3380" s="29"/>
      <c r="D3380" s="27"/>
      <c r="E3380" s="27"/>
      <c r="F3380" s="27"/>
    </row>
    <row r="3381">
      <c r="A3381" s="28"/>
      <c r="B3381" s="1"/>
      <c r="C3381" s="29"/>
      <c r="D3381" s="27"/>
      <c r="E3381" s="27"/>
      <c r="F3381" s="27"/>
    </row>
    <row r="3382">
      <c r="A3382" s="28"/>
      <c r="B3382" s="1"/>
      <c r="C3382" s="29"/>
      <c r="D3382" s="27"/>
      <c r="E3382" s="27"/>
      <c r="F3382" s="27"/>
    </row>
    <row r="3383">
      <c r="A3383" s="28"/>
      <c r="B3383" s="1"/>
      <c r="C3383" s="29"/>
      <c r="D3383" s="27"/>
      <c r="E3383" s="27"/>
      <c r="F3383" s="27"/>
    </row>
    <row r="3384">
      <c r="A3384" s="28"/>
      <c r="B3384" s="1"/>
      <c r="C3384" s="29"/>
      <c r="D3384" s="27"/>
      <c r="E3384" s="27"/>
      <c r="F3384" s="27"/>
    </row>
    <row r="3385">
      <c r="A3385" s="28"/>
      <c r="B3385" s="1"/>
      <c r="C3385" s="29"/>
      <c r="D3385" s="27"/>
      <c r="E3385" s="27"/>
      <c r="F3385" s="27"/>
    </row>
    <row r="3386">
      <c r="A3386" s="28"/>
      <c r="B3386" s="1"/>
      <c r="C3386" s="29"/>
      <c r="D3386" s="27"/>
      <c r="E3386" s="27"/>
      <c r="F3386" s="27"/>
    </row>
    <row r="3387">
      <c r="A3387" s="28"/>
      <c r="B3387" s="1"/>
      <c r="C3387" s="29"/>
      <c r="D3387" s="27"/>
      <c r="E3387" s="27"/>
      <c r="F3387" s="27"/>
    </row>
    <row r="3388">
      <c r="A3388" s="28"/>
      <c r="B3388" s="1"/>
      <c r="C3388" s="29"/>
      <c r="D3388" s="27"/>
      <c r="E3388" s="27"/>
      <c r="F3388" s="27"/>
    </row>
    <row r="3389">
      <c r="A3389" s="28"/>
      <c r="B3389" s="1"/>
      <c r="C3389" s="29"/>
      <c r="D3389" s="27"/>
      <c r="E3389" s="27"/>
      <c r="F3389" s="27"/>
    </row>
    <row r="3390">
      <c r="A3390" s="28"/>
      <c r="B3390" s="1"/>
      <c r="C3390" s="29"/>
      <c r="D3390" s="27"/>
      <c r="E3390" s="27"/>
      <c r="F3390" s="27"/>
    </row>
    <row r="3391">
      <c r="A3391" s="28"/>
      <c r="B3391" s="1"/>
      <c r="C3391" s="29"/>
      <c r="D3391" s="27"/>
      <c r="E3391" s="27"/>
      <c r="F3391" s="27"/>
    </row>
    <row r="3392">
      <c r="A3392" s="28"/>
      <c r="B3392" s="1"/>
      <c r="C3392" s="29"/>
      <c r="D3392" s="27"/>
      <c r="E3392" s="27"/>
      <c r="F3392" s="27"/>
    </row>
    <row r="3393">
      <c r="A3393" s="28"/>
      <c r="B3393" s="1"/>
      <c r="C3393" s="29"/>
      <c r="D3393" s="27"/>
      <c r="E3393" s="27"/>
      <c r="F3393" s="27"/>
    </row>
    <row r="3394">
      <c r="A3394" s="28"/>
      <c r="B3394" s="1"/>
      <c r="C3394" s="29"/>
      <c r="D3394" s="27"/>
      <c r="E3394" s="27"/>
      <c r="F3394" s="27"/>
    </row>
    <row r="3395">
      <c r="A3395" s="28"/>
      <c r="B3395" s="1"/>
      <c r="C3395" s="29"/>
      <c r="D3395" s="27"/>
      <c r="E3395" s="27"/>
      <c r="F3395" s="27"/>
    </row>
    <row r="3396">
      <c r="A3396" s="28"/>
      <c r="B3396" s="1"/>
      <c r="C3396" s="29"/>
      <c r="D3396" s="27"/>
      <c r="E3396" s="27"/>
      <c r="F3396" s="27"/>
    </row>
    <row r="3397">
      <c r="A3397" s="28"/>
      <c r="B3397" s="1"/>
      <c r="C3397" s="29"/>
      <c r="D3397" s="27"/>
      <c r="E3397" s="27"/>
      <c r="F3397" s="27"/>
    </row>
    <row r="3398">
      <c r="A3398" s="28"/>
      <c r="B3398" s="1"/>
      <c r="C3398" s="29"/>
      <c r="D3398" s="27"/>
      <c r="E3398" s="27"/>
      <c r="F3398" s="27"/>
    </row>
    <row r="3399">
      <c r="A3399" s="28"/>
      <c r="B3399" s="1"/>
      <c r="C3399" s="29"/>
      <c r="D3399" s="27"/>
      <c r="E3399" s="27"/>
      <c r="F3399" s="27"/>
    </row>
    <row r="3400">
      <c r="A3400" s="28"/>
      <c r="B3400" s="1"/>
      <c r="C3400" s="29"/>
      <c r="D3400" s="27"/>
      <c r="E3400" s="27"/>
      <c r="F3400" s="27"/>
    </row>
    <row r="3401">
      <c r="A3401" s="28"/>
      <c r="B3401" s="1"/>
      <c r="C3401" s="29"/>
      <c r="D3401" s="27"/>
      <c r="E3401" s="27"/>
      <c r="F3401" s="27"/>
    </row>
    <row r="3402">
      <c r="A3402" s="28"/>
      <c r="B3402" s="1"/>
      <c r="C3402" s="29"/>
      <c r="D3402" s="27"/>
      <c r="E3402" s="27"/>
      <c r="F3402" s="27"/>
    </row>
    <row r="3403">
      <c r="A3403" s="28"/>
      <c r="B3403" s="1"/>
      <c r="C3403" s="29"/>
      <c r="D3403" s="27"/>
      <c r="E3403" s="27"/>
      <c r="F3403" s="27"/>
    </row>
    <row r="3404">
      <c r="A3404" s="28"/>
      <c r="B3404" s="1"/>
      <c r="C3404" s="29"/>
      <c r="D3404" s="27"/>
      <c r="E3404" s="27"/>
      <c r="F3404" s="27"/>
    </row>
    <row r="3405">
      <c r="A3405" s="28"/>
      <c r="B3405" s="1"/>
      <c r="C3405" s="29"/>
      <c r="D3405" s="27"/>
      <c r="E3405" s="27"/>
      <c r="F3405" s="27"/>
    </row>
    <row r="3406">
      <c r="A3406" s="28"/>
      <c r="B3406" s="1"/>
      <c r="C3406" s="29"/>
      <c r="D3406" s="27"/>
      <c r="E3406" s="27"/>
      <c r="F3406" s="27"/>
    </row>
    <row r="3407">
      <c r="A3407" s="28"/>
      <c r="B3407" s="1"/>
      <c r="C3407" s="29"/>
      <c r="D3407" s="27"/>
      <c r="E3407" s="27"/>
      <c r="F3407" s="27"/>
    </row>
    <row r="3408">
      <c r="A3408" s="28"/>
      <c r="B3408" s="1"/>
      <c r="C3408" s="29"/>
      <c r="D3408" s="27"/>
      <c r="E3408" s="27"/>
      <c r="F3408" s="27"/>
    </row>
    <row r="3409">
      <c r="A3409" s="28"/>
      <c r="B3409" s="1"/>
      <c r="C3409" s="29"/>
      <c r="D3409" s="27"/>
      <c r="E3409" s="27"/>
      <c r="F3409" s="27"/>
    </row>
    <row r="3410">
      <c r="A3410" s="28"/>
      <c r="B3410" s="1"/>
      <c r="C3410" s="29"/>
      <c r="D3410" s="27"/>
      <c r="E3410" s="27"/>
      <c r="F3410" s="27"/>
    </row>
    <row r="3411">
      <c r="A3411" s="28"/>
      <c r="B3411" s="1"/>
      <c r="C3411" s="29"/>
      <c r="D3411" s="27"/>
      <c r="E3411" s="27"/>
      <c r="F3411" s="27"/>
    </row>
    <row r="3412">
      <c r="A3412" s="28"/>
      <c r="B3412" s="1"/>
      <c r="C3412" s="29"/>
      <c r="D3412" s="27"/>
      <c r="E3412" s="27"/>
      <c r="F3412" s="27"/>
    </row>
    <row r="3413">
      <c r="A3413" s="28"/>
      <c r="B3413" s="1"/>
      <c r="C3413" s="29"/>
      <c r="D3413" s="27"/>
      <c r="E3413" s="27"/>
      <c r="F3413" s="27"/>
    </row>
    <row r="3414">
      <c r="A3414" s="28"/>
      <c r="B3414" s="1"/>
      <c r="C3414" s="29"/>
      <c r="D3414" s="27"/>
      <c r="E3414" s="27"/>
      <c r="F3414" s="27"/>
    </row>
    <row r="3415">
      <c r="A3415" s="28"/>
      <c r="B3415" s="1"/>
      <c r="C3415" s="29"/>
      <c r="D3415" s="27"/>
      <c r="E3415" s="27"/>
      <c r="F3415" s="27"/>
    </row>
    <row r="3416">
      <c r="A3416" s="28"/>
      <c r="B3416" s="1"/>
      <c r="C3416" s="29"/>
      <c r="D3416" s="27"/>
      <c r="E3416" s="27"/>
      <c r="F3416" s="27"/>
    </row>
    <row r="3417">
      <c r="A3417" s="28"/>
      <c r="B3417" s="1"/>
      <c r="C3417" s="29"/>
      <c r="D3417" s="27"/>
      <c r="E3417" s="27"/>
      <c r="F3417" s="27"/>
    </row>
    <row r="3418">
      <c r="A3418" s="28"/>
      <c r="B3418" s="1"/>
      <c r="C3418" s="29"/>
      <c r="D3418" s="27"/>
      <c r="E3418" s="27"/>
      <c r="F3418" s="27"/>
    </row>
    <row r="3419">
      <c r="A3419" s="28"/>
      <c r="B3419" s="1"/>
      <c r="C3419" s="29"/>
      <c r="D3419" s="27"/>
      <c r="E3419" s="27"/>
      <c r="F3419" s="27"/>
    </row>
    <row r="3420">
      <c r="A3420" s="28"/>
      <c r="B3420" s="1"/>
      <c r="C3420" s="29"/>
      <c r="D3420" s="27"/>
      <c r="E3420" s="27"/>
      <c r="F3420" s="27"/>
    </row>
    <row r="3421">
      <c r="A3421" s="28"/>
      <c r="B3421" s="1"/>
      <c r="C3421" s="29"/>
      <c r="D3421" s="27"/>
      <c r="E3421" s="27"/>
      <c r="F3421" s="27"/>
    </row>
    <row r="3422">
      <c r="A3422" s="28"/>
      <c r="B3422" s="1"/>
      <c r="C3422" s="29"/>
      <c r="D3422" s="27"/>
      <c r="E3422" s="27"/>
      <c r="F3422" s="27"/>
    </row>
    <row r="3423">
      <c r="A3423" s="28"/>
      <c r="B3423" s="1"/>
      <c r="C3423" s="29"/>
      <c r="D3423" s="27"/>
      <c r="E3423" s="27"/>
      <c r="F3423" s="27"/>
    </row>
    <row r="3424">
      <c r="A3424" s="28"/>
      <c r="B3424" s="1"/>
      <c r="C3424" s="29"/>
      <c r="D3424" s="27"/>
      <c r="E3424" s="27"/>
      <c r="F3424" s="27"/>
    </row>
    <row r="3425">
      <c r="A3425" s="28"/>
      <c r="B3425" s="1"/>
      <c r="C3425" s="29"/>
      <c r="D3425" s="27"/>
      <c r="E3425" s="27"/>
      <c r="F3425" s="27"/>
    </row>
    <row r="3426">
      <c r="A3426" s="28"/>
      <c r="B3426" s="1"/>
      <c r="C3426" s="29"/>
      <c r="D3426" s="27"/>
      <c r="E3426" s="27"/>
      <c r="F3426" s="27"/>
    </row>
    <row r="3427">
      <c r="A3427" s="28"/>
      <c r="B3427" s="1"/>
      <c r="C3427" s="29"/>
      <c r="D3427" s="27"/>
      <c r="E3427" s="27"/>
      <c r="F3427" s="27"/>
    </row>
    <row r="3428">
      <c r="A3428" s="28"/>
      <c r="B3428" s="1"/>
      <c r="C3428" s="29"/>
      <c r="D3428" s="27"/>
      <c r="E3428" s="27"/>
      <c r="F3428" s="27"/>
    </row>
    <row r="3429">
      <c r="A3429" s="28"/>
      <c r="B3429" s="1"/>
      <c r="C3429" s="29"/>
      <c r="D3429" s="27"/>
      <c r="E3429" s="27"/>
      <c r="F3429" s="27"/>
    </row>
    <row r="3430">
      <c r="A3430" s="28"/>
      <c r="B3430" s="1"/>
      <c r="C3430" s="29"/>
      <c r="D3430" s="27"/>
      <c r="E3430" s="27"/>
      <c r="F3430" s="27"/>
    </row>
    <row r="3431">
      <c r="A3431" s="28"/>
      <c r="B3431" s="1"/>
      <c r="C3431" s="29"/>
      <c r="D3431" s="27"/>
      <c r="E3431" s="27"/>
      <c r="F3431" s="27"/>
    </row>
    <row r="3432">
      <c r="A3432" s="28"/>
      <c r="B3432" s="1"/>
      <c r="C3432" s="29"/>
      <c r="D3432" s="27"/>
      <c r="E3432" s="27"/>
      <c r="F3432" s="27"/>
    </row>
    <row r="3433">
      <c r="A3433" s="28"/>
      <c r="B3433" s="1"/>
      <c r="C3433" s="29"/>
      <c r="D3433" s="27"/>
      <c r="E3433" s="27"/>
      <c r="F3433" s="27"/>
    </row>
    <row r="3434">
      <c r="A3434" s="28"/>
      <c r="B3434" s="1"/>
      <c r="C3434" s="29"/>
      <c r="D3434" s="27"/>
      <c r="E3434" s="27"/>
      <c r="F3434" s="27"/>
    </row>
    <row r="3435">
      <c r="A3435" s="28"/>
      <c r="B3435" s="1"/>
      <c r="C3435" s="29"/>
      <c r="D3435" s="27"/>
      <c r="E3435" s="27"/>
      <c r="F3435" s="27"/>
    </row>
    <row r="3436">
      <c r="A3436" s="28"/>
      <c r="B3436" s="1"/>
      <c r="C3436" s="29"/>
      <c r="D3436" s="27"/>
      <c r="E3436" s="27"/>
      <c r="F3436" s="27"/>
    </row>
    <row r="3437">
      <c r="A3437" s="28"/>
      <c r="B3437" s="1"/>
      <c r="C3437" s="29"/>
      <c r="D3437" s="27"/>
      <c r="E3437" s="27"/>
      <c r="F3437" s="27"/>
    </row>
    <row r="3438">
      <c r="A3438" s="28"/>
      <c r="B3438" s="1"/>
      <c r="C3438" s="29"/>
      <c r="D3438" s="27"/>
      <c r="E3438" s="27"/>
      <c r="F3438" s="27"/>
    </row>
    <row r="3439">
      <c r="A3439" s="28"/>
      <c r="B3439" s="1"/>
      <c r="C3439" s="29"/>
      <c r="D3439" s="27"/>
      <c r="E3439" s="27"/>
      <c r="F3439" s="27"/>
    </row>
    <row r="3440">
      <c r="A3440" s="28"/>
      <c r="B3440" s="1"/>
      <c r="C3440" s="29"/>
      <c r="D3440" s="27"/>
      <c r="E3440" s="27"/>
      <c r="F3440" s="27"/>
    </row>
    <row r="3441">
      <c r="A3441" s="28"/>
      <c r="B3441" s="1"/>
      <c r="C3441" s="29"/>
      <c r="D3441" s="27"/>
      <c r="E3441" s="27"/>
      <c r="F3441" s="27"/>
    </row>
    <row r="3442">
      <c r="A3442" s="28"/>
      <c r="B3442" s="1"/>
      <c r="C3442" s="29"/>
      <c r="D3442" s="27"/>
      <c r="E3442" s="27"/>
      <c r="F3442" s="27"/>
    </row>
    <row r="3443">
      <c r="A3443" s="28"/>
      <c r="B3443" s="1"/>
      <c r="C3443" s="29"/>
      <c r="D3443" s="27"/>
      <c r="E3443" s="27"/>
      <c r="F3443" s="27"/>
    </row>
    <row r="3444">
      <c r="A3444" s="28"/>
      <c r="B3444" s="1"/>
      <c r="C3444" s="29"/>
      <c r="D3444" s="27"/>
      <c r="E3444" s="27"/>
      <c r="F3444" s="27"/>
    </row>
    <row r="3445">
      <c r="A3445" s="28"/>
      <c r="B3445" s="1"/>
      <c r="C3445" s="29"/>
      <c r="D3445" s="27"/>
      <c r="E3445" s="27"/>
      <c r="F3445" s="27"/>
    </row>
    <row r="3446">
      <c r="A3446" s="28"/>
      <c r="B3446" s="1"/>
      <c r="C3446" s="29"/>
      <c r="D3446" s="27"/>
      <c r="E3446" s="27"/>
      <c r="F3446" s="27"/>
    </row>
    <row r="3447">
      <c r="A3447" s="28"/>
      <c r="B3447" s="1"/>
      <c r="C3447" s="29"/>
      <c r="D3447" s="27"/>
      <c r="E3447" s="27"/>
      <c r="F3447" s="27"/>
    </row>
    <row r="3448">
      <c r="A3448" s="28"/>
      <c r="B3448" s="1"/>
      <c r="C3448" s="29"/>
      <c r="D3448" s="27"/>
      <c r="E3448" s="27"/>
      <c r="F3448" s="27"/>
    </row>
    <row r="3449">
      <c r="A3449" s="28"/>
      <c r="B3449" s="1"/>
      <c r="C3449" s="29"/>
      <c r="D3449" s="27"/>
      <c r="E3449" s="27"/>
      <c r="F3449" s="27"/>
    </row>
    <row r="3450">
      <c r="A3450" s="28"/>
      <c r="B3450" s="1"/>
      <c r="C3450" s="29"/>
      <c r="D3450" s="27"/>
      <c r="E3450" s="27"/>
      <c r="F3450" s="27"/>
    </row>
    <row r="3451">
      <c r="A3451" s="28"/>
      <c r="B3451" s="1"/>
      <c r="C3451" s="29"/>
      <c r="D3451" s="27"/>
      <c r="E3451" s="27"/>
      <c r="F3451" s="27"/>
    </row>
    <row r="3452">
      <c r="A3452" s="28"/>
      <c r="B3452" s="1"/>
      <c r="C3452" s="29"/>
      <c r="D3452" s="27"/>
      <c r="E3452" s="27"/>
      <c r="F3452" s="27"/>
    </row>
    <row r="3453">
      <c r="A3453" s="28"/>
      <c r="B3453" s="1"/>
      <c r="C3453" s="29"/>
      <c r="D3453" s="27"/>
      <c r="E3453" s="27"/>
      <c r="F3453" s="27"/>
    </row>
    <row r="3454">
      <c r="A3454" s="28"/>
      <c r="B3454" s="1"/>
      <c r="C3454" s="29"/>
      <c r="D3454" s="27"/>
      <c r="E3454" s="27"/>
      <c r="F3454" s="27"/>
    </row>
    <row r="3455">
      <c r="A3455" s="28"/>
      <c r="B3455" s="1"/>
      <c r="C3455" s="29"/>
      <c r="D3455" s="27"/>
      <c r="E3455" s="27"/>
      <c r="F3455" s="27"/>
    </row>
    <row r="3456">
      <c r="A3456" s="28"/>
      <c r="B3456" s="1"/>
      <c r="C3456" s="29"/>
      <c r="D3456" s="27"/>
      <c r="E3456" s="27"/>
      <c r="F3456" s="27"/>
    </row>
    <row r="3457">
      <c r="A3457" s="28"/>
      <c r="B3457" s="1"/>
      <c r="C3457" s="29"/>
      <c r="D3457" s="27"/>
      <c r="E3457" s="27"/>
      <c r="F3457" s="27"/>
    </row>
    <row r="3458">
      <c r="A3458" s="28"/>
      <c r="B3458" s="1"/>
      <c r="C3458" s="29"/>
      <c r="D3458" s="27"/>
      <c r="E3458" s="27"/>
      <c r="F3458" s="27"/>
    </row>
    <row r="3459">
      <c r="A3459" s="28"/>
      <c r="B3459" s="1"/>
      <c r="C3459" s="29"/>
      <c r="D3459" s="27"/>
      <c r="E3459" s="27"/>
      <c r="F3459" s="27"/>
    </row>
    <row r="3460">
      <c r="A3460" s="28"/>
      <c r="B3460" s="1"/>
      <c r="C3460" s="29"/>
      <c r="D3460" s="27"/>
      <c r="E3460" s="27"/>
      <c r="F3460" s="27"/>
    </row>
    <row r="3461">
      <c r="A3461" s="28"/>
      <c r="B3461" s="1"/>
      <c r="C3461" s="29"/>
      <c r="D3461" s="27"/>
      <c r="E3461" s="27"/>
      <c r="F3461" s="27"/>
    </row>
    <row r="3462">
      <c r="A3462" s="28"/>
      <c r="B3462" s="1"/>
      <c r="C3462" s="29"/>
      <c r="D3462" s="27"/>
      <c r="E3462" s="27"/>
      <c r="F3462" s="27"/>
    </row>
    <row r="3463">
      <c r="A3463" s="28"/>
      <c r="B3463" s="1"/>
      <c r="C3463" s="29"/>
      <c r="D3463" s="27"/>
      <c r="E3463" s="27"/>
      <c r="F3463" s="27"/>
    </row>
    <row r="3464">
      <c r="A3464" s="28"/>
      <c r="B3464" s="1"/>
      <c r="C3464" s="29"/>
      <c r="D3464" s="27"/>
      <c r="E3464" s="27"/>
      <c r="F3464" s="27"/>
    </row>
    <row r="3465">
      <c r="A3465" s="28"/>
      <c r="B3465" s="1"/>
      <c r="C3465" s="29"/>
      <c r="D3465" s="27"/>
      <c r="E3465" s="27"/>
      <c r="F3465" s="27"/>
    </row>
    <row r="3466">
      <c r="A3466" s="28"/>
      <c r="B3466" s="1"/>
      <c r="C3466" s="29"/>
      <c r="D3466" s="27"/>
      <c r="E3466" s="27"/>
      <c r="F3466" s="27"/>
    </row>
    <row r="3467">
      <c r="A3467" s="28"/>
      <c r="B3467" s="1"/>
      <c r="C3467" s="29"/>
      <c r="D3467" s="27"/>
      <c r="E3467" s="27"/>
      <c r="F3467" s="27"/>
    </row>
    <row r="3468">
      <c r="A3468" s="28"/>
      <c r="B3468" s="1"/>
      <c r="C3468" s="29"/>
      <c r="D3468" s="27"/>
      <c r="E3468" s="27"/>
      <c r="F3468" s="27"/>
    </row>
    <row r="3469">
      <c r="A3469" s="28"/>
      <c r="B3469" s="1"/>
      <c r="C3469" s="29"/>
      <c r="D3469" s="27"/>
      <c r="E3469" s="27"/>
      <c r="F3469" s="27"/>
    </row>
    <row r="3470">
      <c r="A3470" s="28"/>
      <c r="B3470" s="1"/>
      <c r="C3470" s="29"/>
      <c r="D3470" s="27"/>
      <c r="E3470" s="27"/>
      <c r="F3470" s="27"/>
    </row>
    <row r="3471">
      <c r="A3471" s="28"/>
      <c r="B3471" s="1"/>
      <c r="C3471" s="29"/>
      <c r="D3471" s="27"/>
      <c r="E3471" s="27"/>
      <c r="F3471" s="27"/>
    </row>
    <row r="3472">
      <c r="A3472" s="28"/>
      <c r="B3472" s="1"/>
      <c r="C3472" s="29"/>
      <c r="D3472" s="27"/>
      <c r="E3472" s="27"/>
      <c r="F3472" s="27"/>
    </row>
    <row r="3473">
      <c r="A3473" s="28"/>
      <c r="B3473" s="1"/>
      <c r="C3473" s="29"/>
      <c r="D3473" s="27"/>
      <c r="E3473" s="27"/>
      <c r="F3473" s="27"/>
    </row>
    <row r="3474">
      <c r="A3474" s="28"/>
      <c r="B3474" s="1"/>
      <c r="C3474" s="29"/>
      <c r="D3474" s="27"/>
      <c r="E3474" s="27"/>
      <c r="F3474" s="27"/>
    </row>
    <row r="3475">
      <c r="A3475" s="28"/>
      <c r="B3475" s="1"/>
      <c r="C3475" s="29"/>
      <c r="D3475" s="27"/>
      <c r="E3475" s="27"/>
      <c r="F3475" s="27"/>
    </row>
    <row r="3476">
      <c r="A3476" s="28"/>
      <c r="B3476" s="1"/>
      <c r="C3476" s="29"/>
      <c r="D3476" s="27"/>
      <c r="E3476" s="27"/>
      <c r="F3476" s="27"/>
    </row>
    <row r="3477">
      <c r="A3477" s="28"/>
      <c r="B3477" s="1"/>
      <c r="C3477" s="29"/>
      <c r="D3477" s="27"/>
      <c r="E3477" s="27"/>
      <c r="F3477" s="27"/>
    </row>
    <row r="3478">
      <c r="A3478" s="28"/>
      <c r="B3478" s="1"/>
      <c r="C3478" s="29"/>
      <c r="D3478" s="27"/>
      <c r="E3478" s="27"/>
      <c r="F3478" s="27"/>
    </row>
    <row r="3479">
      <c r="A3479" s="28"/>
      <c r="B3479" s="1"/>
      <c r="C3479" s="29"/>
      <c r="D3479" s="27"/>
      <c r="E3479" s="27"/>
      <c r="F3479" s="27"/>
    </row>
    <row r="3480">
      <c r="A3480" s="28"/>
      <c r="B3480" s="1"/>
      <c r="C3480" s="29"/>
      <c r="D3480" s="27"/>
      <c r="E3480" s="27"/>
      <c r="F3480" s="27"/>
    </row>
    <row r="3481">
      <c r="A3481" s="28"/>
      <c r="B3481" s="1"/>
      <c r="C3481" s="29"/>
      <c r="D3481" s="27"/>
      <c r="E3481" s="27"/>
      <c r="F3481" s="27"/>
    </row>
    <row r="3482">
      <c r="A3482" s="28"/>
      <c r="B3482" s="1"/>
      <c r="C3482" s="29"/>
      <c r="D3482" s="27"/>
      <c r="E3482" s="27"/>
      <c r="F3482" s="27"/>
    </row>
    <row r="3483">
      <c r="A3483" s="28"/>
      <c r="B3483" s="1"/>
      <c r="C3483" s="29"/>
      <c r="D3483" s="27"/>
      <c r="E3483" s="27"/>
      <c r="F3483" s="27"/>
    </row>
    <row r="3484">
      <c r="A3484" s="28"/>
      <c r="B3484" s="1"/>
      <c r="C3484" s="29"/>
      <c r="D3484" s="27"/>
      <c r="E3484" s="27"/>
      <c r="F3484" s="27"/>
    </row>
    <row r="3485">
      <c r="A3485" s="28"/>
      <c r="B3485" s="1"/>
      <c r="C3485" s="29"/>
      <c r="D3485" s="27"/>
      <c r="E3485" s="27"/>
      <c r="F3485" s="27"/>
    </row>
    <row r="3486">
      <c r="A3486" s="28"/>
      <c r="B3486" s="1"/>
      <c r="C3486" s="29"/>
      <c r="D3486" s="27"/>
      <c r="E3486" s="27"/>
      <c r="F3486" s="27"/>
    </row>
    <row r="3487">
      <c r="A3487" s="28"/>
      <c r="B3487" s="1"/>
      <c r="C3487" s="29"/>
      <c r="D3487" s="27"/>
      <c r="E3487" s="27"/>
      <c r="F3487" s="27"/>
    </row>
    <row r="3488">
      <c r="A3488" s="28"/>
      <c r="B3488" s="1"/>
      <c r="C3488" s="29"/>
      <c r="D3488" s="27"/>
      <c r="E3488" s="27"/>
      <c r="F3488" s="27"/>
    </row>
    <row r="3489">
      <c r="A3489" s="28"/>
      <c r="B3489" s="1"/>
      <c r="C3489" s="29"/>
      <c r="D3489" s="27"/>
      <c r="E3489" s="27"/>
      <c r="F3489" s="27"/>
    </row>
    <row r="3490">
      <c r="A3490" s="28"/>
      <c r="B3490" s="1"/>
      <c r="C3490" s="29"/>
      <c r="D3490" s="27"/>
      <c r="E3490" s="27"/>
      <c r="F3490" s="27"/>
    </row>
    <row r="3491">
      <c r="A3491" s="28"/>
      <c r="B3491" s="1"/>
      <c r="C3491" s="29"/>
      <c r="D3491" s="27"/>
      <c r="E3491" s="27"/>
      <c r="F3491" s="27"/>
    </row>
    <row r="3492">
      <c r="A3492" s="28"/>
      <c r="B3492" s="1"/>
      <c r="C3492" s="29"/>
      <c r="D3492" s="27"/>
      <c r="E3492" s="27"/>
      <c r="F3492" s="27"/>
    </row>
    <row r="3493">
      <c r="A3493" s="28"/>
      <c r="B3493" s="1"/>
      <c r="C3493" s="29"/>
      <c r="D3493" s="27"/>
      <c r="E3493" s="27"/>
      <c r="F3493" s="27"/>
    </row>
    <row r="3494">
      <c r="A3494" s="28"/>
      <c r="B3494" s="1"/>
      <c r="C3494" s="29"/>
      <c r="D3494" s="27"/>
      <c r="E3494" s="27"/>
      <c r="F3494" s="27"/>
    </row>
    <row r="3495">
      <c r="A3495" s="28"/>
      <c r="B3495" s="1"/>
      <c r="C3495" s="29"/>
      <c r="D3495" s="27"/>
      <c r="E3495" s="27"/>
      <c r="F3495" s="27"/>
    </row>
    <row r="3496">
      <c r="A3496" s="28"/>
      <c r="B3496" s="1"/>
      <c r="C3496" s="29"/>
      <c r="D3496" s="27"/>
      <c r="E3496" s="27"/>
      <c r="F3496" s="27"/>
    </row>
    <row r="3497">
      <c r="A3497" s="28"/>
      <c r="B3497" s="1"/>
      <c r="C3497" s="29"/>
      <c r="D3497" s="27"/>
      <c r="E3497" s="27"/>
      <c r="F3497" s="27"/>
    </row>
    <row r="3498">
      <c r="A3498" s="28"/>
      <c r="B3498" s="1"/>
      <c r="C3498" s="29"/>
      <c r="D3498" s="27"/>
      <c r="E3498" s="27"/>
      <c r="F3498" s="27"/>
    </row>
    <row r="3499">
      <c r="A3499" s="28"/>
      <c r="B3499" s="1"/>
      <c r="C3499" s="29"/>
      <c r="D3499" s="27"/>
      <c r="E3499" s="27"/>
      <c r="F3499" s="27"/>
    </row>
    <row r="3500">
      <c r="A3500" s="28"/>
      <c r="B3500" s="1"/>
      <c r="C3500" s="29"/>
      <c r="D3500" s="27"/>
      <c r="E3500" s="27"/>
      <c r="F3500" s="27"/>
    </row>
    <row r="3501">
      <c r="A3501" s="28"/>
      <c r="B3501" s="1"/>
      <c r="C3501" s="29"/>
      <c r="D3501" s="27"/>
      <c r="E3501" s="27"/>
      <c r="F3501" s="27"/>
    </row>
    <row r="3502">
      <c r="A3502" s="28"/>
      <c r="B3502" s="1"/>
      <c r="C3502" s="29"/>
      <c r="D3502" s="27"/>
      <c r="E3502" s="27"/>
      <c r="F3502" s="27"/>
    </row>
    <row r="3503">
      <c r="A3503" s="28"/>
      <c r="B3503" s="1"/>
      <c r="C3503" s="29"/>
      <c r="D3503" s="27"/>
      <c r="E3503" s="27"/>
      <c r="F3503" s="27"/>
    </row>
    <row r="3504">
      <c r="A3504" s="28"/>
      <c r="B3504" s="1"/>
      <c r="C3504" s="29"/>
      <c r="D3504" s="27"/>
      <c r="E3504" s="27"/>
      <c r="F3504" s="27"/>
    </row>
    <row r="3505">
      <c r="A3505" s="28"/>
      <c r="B3505" s="1"/>
      <c r="C3505" s="29"/>
      <c r="D3505" s="27"/>
      <c r="E3505" s="27"/>
      <c r="F3505" s="27"/>
    </row>
    <row r="3506">
      <c r="A3506" s="28"/>
      <c r="B3506" s="1"/>
      <c r="C3506" s="29"/>
      <c r="D3506" s="27"/>
      <c r="E3506" s="27"/>
      <c r="F3506" s="27"/>
    </row>
    <row r="3507">
      <c r="A3507" s="28"/>
      <c r="B3507" s="1"/>
      <c r="C3507" s="29"/>
      <c r="D3507" s="27"/>
      <c r="E3507" s="27"/>
      <c r="F3507" s="27"/>
    </row>
    <row r="3508">
      <c r="A3508" s="28"/>
      <c r="B3508" s="1"/>
      <c r="C3508" s="29"/>
      <c r="D3508" s="27"/>
      <c r="E3508" s="27"/>
      <c r="F3508" s="27"/>
    </row>
    <row r="3509">
      <c r="A3509" s="28"/>
      <c r="B3509" s="1"/>
      <c r="C3509" s="29"/>
      <c r="D3509" s="27"/>
      <c r="E3509" s="27"/>
      <c r="F3509" s="27"/>
    </row>
    <row r="3510">
      <c r="A3510" s="28"/>
      <c r="B3510" s="1"/>
      <c r="C3510" s="29"/>
      <c r="D3510" s="27"/>
      <c r="E3510" s="27"/>
      <c r="F3510" s="27"/>
    </row>
    <row r="3511">
      <c r="A3511" s="28"/>
      <c r="B3511" s="1"/>
      <c r="C3511" s="29"/>
      <c r="D3511" s="27"/>
      <c r="E3511" s="27"/>
      <c r="F3511" s="27"/>
    </row>
    <row r="3512">
      <c r="A3512" s="28"/>
      <c r="B3512" s="1"/>
      <c r="C3512" s="29"/>
      <c r="D3512" s="27"/>
      <c r="E3512" s="27"/>
      <c r="F3512" s="27"/>
    </row>
    <row r="3513">
      <c r="A3513" s="28"/>
      <c r="B3513" s="1"/>
      <c r="C3513" s="29"/>
      <c r="D3513" s="27"/>
      <c r="E3513" s="27"/>
      <c r="F3513" s="27"/>
    </row>
    <row r="3514">
      <c r="A3514" s="28"/>
      <c r="B3514" s="1"/>
      <c r="C3514" s="29"/>
      <c r="D3514" s="27"/>
      <c r="E3514" s="27"/>
      <c r="F3514" s="27"/>
    </row>
    <row r="3515">
      <c r="A3515" s="28"/>
      <c r="B3515" s="1"/>
      <c r="C3515" s="29"/>
      <c r="D3515" s="27"/>
      <c r="E3515" s="27"/>
      <c r="F3515" s="27"/>
    </row>
    <row r="3516">
      <c r="A3516" s="28"/>
      <c r="B3516" s="1"/>
      <c r="C3516" s="29"/>
      <c r="D3516" s="27"/>
      <c r="E3516" s="27"/>
      <c r="F3516" s="27"/>
    </row>
    <row r="3517">
      <c r="A3517" s="28"/>
      <c r="B3517" s="1"/>
      <c r="C3517" s="29"/>
      <c r="D3517" s="27"/>
      <c r="E3517" s="27"/>
      <c r="F3517" s="27"/>
    </row>
    <row r="3518">
      <c r="A3518" s="28"/>
      <c r="B3518" s="1"/>
      <c r="C3518" s="29"/>
      <c r="D3518" s="27"/>
      <c r="E3518" s="27"/>
      <c r="F3518" s="27"/>
    </row>
    <row r="3519">
      <c r="A3519" s="28"/>
      <c r="B3519" s="1"/>
      <c r="C3519" s="29"/>
      <c r="D3519" s="27"/>
      <c r="E3519" s="27"/>
      <c r="F3519" s="27"/>
    </row>
    <row r="3520">
      <c r="A3520" s="28"/>
      <c r="B3520" s="1"/>
      <c r="C3520" s="29"/>
      <c r="D3520" s="27"/>
      <c r="E3520" s="27"/>
      <c r="F3520" s="27"/>
    </row>
    <row r="3521">
      <c r="A3521" s="28"/>
      <c r="B3521" s="1"/>
      <c r="C3521" s="29"/>
      <c r="D3521" s="27"/>
      <c r="E3521" s="27"/>
      <c r="F3521" s="27"/>
    </row>
    <row r="3522">
      <c r="A3522" s="28"/>
      <c r="B3522" s="1"/>
      <c r="C3522" s="29"/>
      <c r="D3522" s="27"/>
      <c r="E3522" s="27"/>
      <c r="F3522" s="27"/>
    </row>
    <row r="3523">
      <c r="A3523" s="28"/>
      <c r="B3523" s="1"/>
      <c r="C3523" s="29"/>
      <c r="D3523" s="27"/>
      <c r="E3523" s="27"/>
      <c r="F3523" s="27"/>
    </row>
    <row r="3524">
      <c r="A3524" s="28"/>
      <c r="B3524" s="1"/>
      <c r="C3524" s="29"/>
      <c r="D3524" s="27"/>
      <c r="E3524" s="27"/>
      <c r="F3524" s="27"/>
    </row>
    <row r="3525">
      <c r="A3525" s="28"/>
      <c r="B3525" s="1"/>
      <c r="C3525" s="29"/>
      <c r="D3525" s="27"/>
      <c r="E3525" s="27"/>
      <c r="F3525" s="27"/>
    </row>
    <row r="3526">
      <c r="A3526" s="28"/>
      <c r="B3526" s="1"/>
      <c r="C3526" s="29"/>
      <c r="D3526" s="27"/>
      <c r="E3526" s="27"/>
      <c r="F3526" s="27"/>
    </row>
    <row r="3527">
      <c r="A3527" s="28"/>
      <c r="B3527" s="1"/>
      <c r="C3527" s="29"/>
      <c r="D3527" s="27"/>
      <c r="E3527" s="27"/>
      <c r="F3527" s="27"/>
    </row>
    <row r="3528">
      <c r="A3528" s="28"/>
      <c r="B3528" s="1"/>
      <c r="C3528" s="29"/>
      <c r="D3528" s="27"/>
      <c r="E3528" s="27"/>
      <c r="F3528" s="27"/>
    </row>
    <row r="3529">
      <c r="A3529" s="28"/>
      <c r="B3529" s="1"/>
      <c r="C3529" s="29"/>
      <c r="D3529" s="27"/>
      <c r="E3529" s="27"/>
      <c r="F3529" s="27"/>
    </row>
    <row r="3530">
      <c r="A3530" s="28"/>
      <c r="B3530" s="1"/>
      <c r="C3530" s="29"/>
      <c r="D3530" s="27"/>
      <c r="E3530" s="27"/>
      <c r="F3530" s="27"/>
    </row>
    <row r="3531">
      <c r="A3531" s="28"/>
      <c r="B3531" s="1"/>
      <c r="C3531" s="29"/>
      <c r="D3531" s="27"/>
      <c r="E3531" s="27"/>
      <c r="F3531" s="27"/>
    </row>
    <row r="3532">
      <c r="A3532" s="28"/>
      <c r="B3532" s="1"/>
      <c r="C3532" s="29"/>
      <c r="D3532" s="27"/>
      <c r="E3532" s="27"/>
      <c r="F3532" s="27"/>
    </row>
    <row r="3533">
      <c r="A3533" s="28"/>
      <c r="B3533" s="1"/>
      <c r="C3533" s="29"/>
      <c r="D3533" s="27"/>
      <c r="E3533" s="27"/>
      <c r="F3533" s="27"/>
    </row>
    <row r="3534">
      <c r="A3534" s="28"/>
      <c r="B3534" s="1"/>
      <c r="C3534" s="29"/>
      <c r="D3534" s="27"/>
      <c r="E3534" s="27"/>
      <c r="F3534" s="27"/>
    </row>
    <row r="3535">
      <c r="A3535" s="28"/>
      <c r="B3535" s="1"/>
      <c r="C3535" s="29"/>
      <c r="D3535" s="27"/>
      <c r="E3535" s="27"/>
      <c r="F3535" s="27"/>
    </row>
    <row r="3536">
      <c r="A3536" s="28"/>
      <c r="B3536" s="1"/>
      <c r="C3536" s="29"/>
      <c r="D3536" s="27"/>
      <c r="E3536" s="27"/>
      <c r="F3536" s="27"/>
    </row>
    <row r="3537">
      <c r="A3537" s="28"/>
      <c r="B3537" s="1"/>
      <c r="C3537" s="29"/>
      <c r="D3537" s="27"/>
      <c r="E3537" s="27"/>
      <c r="F3537" s="27"/>
    </row>
    <row r="3538">
      <c r="A3538" s="28"/>
      <c r="B3538" s="1"/>
      <c r="C3538" s="29"/>
      <c r="D3538" s="27"/>
      <c r="E3538" s="27"/>
      <c r="F3538" s="27"/>
    </row>
    <row r="3539">
      <c r="A3539" s="28"/>
      <c r="B3539" s="1"/>
      <c r="C3539" s="29"/>
      <c r="D3539" s="27"/>
      <c r="E3539" s="27"/>
      <c r="F3539" s="27"/>
    </row>
    <row r="3540">
      <c r="A3540" s="28"/>
      <c r="B3540" s="1"/>
      <c r="C3540" s="29"/>
      <c r="D3540" s="27"/>
      <c r="E3540" s="27"/>
      <c r="F3540" s="27"/>
    </row>
    <row r="3541">
      <c r="A3541" s="28"/>
      <c r="B3541" s="1"/>
      <c r="C3541" s="29"/>
      <c r="D3541" s="27"/>
      <c r="E3541" s="27"/>
      <c r="F3541" s="27"/>
    </row>
    <row r="3542">
      <c r="A3542" s="28"/>
      <c r="B3542" s="1"/>
      <c r="C3542" s="29"/>
      <c r="D3542" s="27"/>
      <c r="E3542" s="27"/>
      <c r="F3542" s="27"/>
    </row>
    <row r="3543">
      <c r="A3543" s="28"/>
      <c r="B3543" s="1"/>
      <c r="C3543" s="29"/>
      <c r="D3543" s="27"/>
      <c r="E3543" s="27"/>
      <c r="F3543" s="27"/>
    </row>
    <row r="3544">
      <c r="A3544" s="28"/>
      <c r="B3544" s="1"/>
      <c r="C3544" s="29"/>
      <c r="D3544" s="27"/>
      <c r="E3544" s="27"/>
      <c r="F3544" s="27"/>
    </row>
    <row r="3545">
      <c r="A3545" s="28"/>
      <c r="B3545" s="1"/>
      <c r="C3545" s="29"/>
      <c r="D3545" s="27"/>
      <c r="E3545" s="27"/>
      <c r="F3545" s="27"/>
    </row>
    <row r="3546">
      <c r="A3546" s="28"/>
      <c r="B3546" s="1"/>
      <c r="C3546" s="29"/>
      <c r="D3546" s="27"/>
      <c r="E3546" s="27"/>
      <c r="F3546" s="27"/>
    </row>
    <row r="3547">
      <c r="A3547" s="28"/>
      <c r="B3547" s="1"/>
      <c r="C3547" s="29"/>
      <c r="D3547" s="27"/>
      <c r="E3547" s="27"/>
      <c r="F3547" s="27"/>
    </row>
    <row r="3548">
      <c r="A3548" s="28"/>
      <c r="B3548" s="1"/>
      <c r="C3548" s="29"/>
      <c r="D3548" s="27"/>
      <c r="E3548" s="27"/>
      <c r="F3548" s="27"/>
    </row>
    <row r="3549">
      <c r="A3549" s="28"/>
      <c r="B3549" s="1"/>
      <c r="C3549" s="29"/>
      <c r="D3549" s="27"/>
      <c r="E3549" s="27"/>
      <c r="F3549" s="27"/>
    </row>
    <row r="3550">
      <c r="A3550" s="28"/>
      <c r="B3550" s="1"/>
      <c r="C3550" s="29"/>
      <c r="D3550" s="27"/>
      <c r="E3550" s="27"/>
      <c r="F3550" s="27"/>
    </row>
    <row r="3551">
      <c r="A3551" s="28"/>
      <c r="B3551" s="1"/>
      <c r="C3551" s="29"/>
      <c r="D3551" s="27"/>
      <c r="E3551" s="27"/>
      <c r="F3551" s="27"/>
    </row>
    <row r="3552">
      <c r="A3552" s="28"/>
      <c r="B3552" s="1"/>
      <c r="C3552" s="29"/>
      <c r="D3552" s="27"/>
      <c r="E3552" s="27"/>
      <c r="F3552" s="27"/>
    </row>
    <row r="3553">
      <c r="A3553" s="28"/>
      <c r="B3553" s="1"/>
      <c r="C3553" s="29"/>
      <c r="D3553" s="27"/>
      <c r="E3553" s="27"/>
      <c r="F3553" s="27"/>
    </row>
    <row r="3554">
      <c r="A3554" s="28"/>
      <c r="B3554" s="1"/>
      <c r="C3554" s="29"/>
      <c r="D3554" s="27"/>
      <c r="E3554" s="27"/>
      <c r="F3554" s="27"/>
    </row>
    <row r="3555">
      <c r="A3555" s="28"/>
      <c r="B3555" s="1"/>
      <c r="C3555" s="29"/>
      <c r="D3555" s="27"/>
      <c r="E3555" s="27"/>
      <c r="F3555" s="27"/>
    </row>
    <row r="3556">
      <c r="A3556" s="28"/>
      <c r="B3556" s="1"/>
      <c r="C3556" s="29"/>
      <c r="D3556" s="27"/>
      <c r="E3556" s="27"/>
      <c r="F3556" s="27"/>
    </row>
    <row r="3557">
      <c r="A3557" s="28"/>
      <c r="B3557" s="1"/>
      <c r="C3557" s="29"/>
      <c r="D3557" s="27"/>
      <c r="E3557" s="27"/>
      <c r="F3557" s="27"/>
    </row>
    <row r="3558">
      <c r="A3558" s="28"/>
      <c r="B3558" s="1"/>
      <c r="C3558" s="29"/>
      <c r="D3558" s="27"/>
      <c r="E3558" s="27"/>
      <c r="F3558" s="27"/>
    </row>
    <row r="3559">
      <c r="A3559" s="28"/>
      <c r="B3559" s="1"/>
      <c r="C3559" s="29"/>
      <c r="D3559" s="27"/>
      <c r="E3559" s="27"/>
      <c r="F3559" s="27"/>
    </row>
    <row r="3560">
      <c r="A3560" s="28"/>
      <c r="B3560" s="1"/>
      <c r="C3560" s="29"/>
      <c r="D3560" s="27"/>
      <c r="E3560" s="27"/>
      <c r="F3560" s="27"/>
    </row>
    <row r="3561">
      <c r="A3561" s="28"/>
      <c r="B3561" s="1"/>
      <c r="C3561" s="29"/>
      <c r="D3561" s="27"/>
      <c r="E3561" s="27"/>
      <c r="F3561" s="27"/>
    </row>
    <row r="3562">
      <c r="A3562" s="28"/>
      <c r="B3562" s="1"/>
      <c r="C3562" s="29"/>
      <c r="D3562" s="27"/>
      <c r="E3562" s="27"/>
      <c r="F3562" s="27"/>
    </row>
    <row r="3563">
      <c r="A3563" s="28"/>
      <c r="B3563" s="1"/>
      <c r="C3563" s="29"/>
      <c r="D3563" s="27"/>
      <c r="E3563" s="27"/>
      <c r="F3563" s="27"/>
    </row>
    <row r="3564">
      <c r="A3564" s="28"/>
      <c r="B3564" s="1"/>
      <c r="C3564" s="29"/>
      <c r="D3564" s="27"/>
      <c r="E3564" s="27"/>
      <c r="F3564" s="27"/>
    </row>
    <row r="3565">
      <c r="A3565" s="28"/>
      <c r="B3565" s="1"/>
      <c r="C3565" s="29"/>
      <c r="D3565" s="27"/>
      <c r="E3565" s="27"/>
      <c r="F3565" s="27"/>
    </row>
    <row r="3566">
      <c r="A3566" s="28"/>
      <c r="B3566" s="1"/>
      <c r="C3566" s="29"/>
      <c r="D3566" s="27"/>
      <c r="E3566" s="27"/>
      <c r="F3566" s="27"/>
    </row>
    <row r="3567">
      <c r="A3567" s="28"/>
      <c r="B3567" s="1"/>
      <c r="C3567" s="29"/>
      <c r="D3567" s="27"/>
      <c r="E3567" s="27"/>
      <c r="F3567" s="27"/>
    </row>
    <row r="3568">
      <c r="A3568" s="28"/>
      <c r="B3568" s="1"/>
      <c r="C3568" s="29"/>
      <c r="D3568" s="27"/>
      <c r="E3568" s="27"/>
      <c r="F3568" s="27"/>
    </row>
    <row r="3569">
      <c r="A3569" s="28"/>
      <c r="B3569" s="1"/>
      <c r="C3569" s="29"/>
      <c r="D3569" s="27"/>
      <c r="E3569" s="27"/>
      <c r="F3569" s="27"/>
    </row>
    <row r="3570">
      <c r="A3570" s="28"/>
      <c r="B3570" s="1"/>
      <c r="C3570" s="29"/>
      <c r="D3570" s="27"/>
      <c r="E3570" s="27"/>
      <c r="F3570" s="27"/>
    </row>
    <row r="3571">
      <c r="A3571" s="28"/>
      <c r="B3571" s="1"/>
      <c r="C3571" s="29"/>
      <c r="D3571" s="27"/>
      <c r="E3571" s="27"/>
      <c r="F3571" s="27"/>
    </row>
    <row r="3572">
      <c r="A3572" s="28"/>
      <c r="B3572" s="1"/>
      <c r="C3572" s="29"/>
      <c r="D3572" s="27"/>
      <c r="E3572" s="27"/>
      <c r="F3572" s="27"/>
    </row>
    <row r="3573">
      <c r="A3573" s="28"/>
      <c r="B3573" s="1"/>
      <c r="C3573" s="29"/>
      <c r="D3573" s="27"/>
      <c r="E3573" s="27"/>
      <c r="F3573" s="27"/>
    </row>
    <row r="3574">
      <c r="A3574" s="28"/>
      <c r="B3574" s="1"/>
      <c r="C3574" s="29"/>
      <c r="D3574" s="27"/>
      <c r="E3574" s="27"/>
      <c r="F3574" s="27"/>
    </row>
    <row r="3575">
      <c r="A3575" s="28"/>
      <c r="B3575" s="1"/>
      <c r="C3575" s="29"/>
      <c r="D3575" s="27"/>
      <c r="E3575" s="27"/>
      <c r="F3575" s="27"/>
    </row>
    <row r="3576">
      <c r="A3576" s="28"/>
      <c r="B3576" s="1"/>
      <c r="C3576" s="29"/>
      <c r="D3576" s="27"/>
      <c r="E3576" s="27"/>
      <c r="F3576" s="27"/>
    </row>
    <row r="3577">
      <c r="A3577" s="28"/>
      <c r="B3577" s="1"/>
      <c r="C3577" s="29"/>
      <c r="D3577" s="27"/>
      <c r="E3577" s="27"/>
      <c r="F3577" s="27"/>
    </row>
    <row r="3578">
      <c r="A3578" s="28"/>
      <c r="B3578" s="1"/>
      <c r="C3578" s="29"/>
      <c r="D3578" s="27"/>
      <c r="E3578" s="27"/>
      <c r="F3578" s="27"/>
    </row>
    <row r="3579">
      <c r="A3579" s="28"/>
      <c r="B3579" s="1"/>
      <c r="C3579" s="29"/>
      <c r="D3579" s="27"/>
      <c r="E3579" s="27"/>
      <c r="F3579" s="27"/>
    </row>
    <row r="3580">
      <c r="A3580" s="28"/>
      <c r="B3580" s="1"/>
      <c r="C3580" s="29"/>
      <c r="D3580" s="27"/>
      <c r="E3580" s="27"/>
      <c r="F3580" s="27"/>
    </row>
    <row r="3581">
      <c r="A3581" s="28"/>
      <c r="B3581" s="1"/>
      <c r="C3581" s="29"/>
      <c r="D3581" s="27"/>
      <c r="E3581" s="27"/>
      <c r="F3581" s="27"/>
    </row>
    <row r="3582">
      <c r="A3582" s="28"/>
      <c r="B3582" s="1"/>
      <c r="C3582" s="29"/>
      <c r="D3582" s="27"/>
      <c r="E3582" s="27"/>
      <c r="F3582" s="27"/>
    </row>
    <row r="3583">
      <c r="A3583" s="28"/>
      <c r="B3583" s="1"/>
      <c r="C3583" s="29"/>
      <c r="D3583" s="27"/>
      <c r="E3583" s="27"/>
      <c r="F3583" s="27"/>
    </row>
    <row r="3584">
      <c r="A3584" s="28"/>
      <c r="B3584" s="1"/>
      <c r="C3584" s="29"/>
      <c r="D3584" s="27"/>
      <c r="E3584" s="27"/>
      <c r="F3584" s="27"/>
    </row>
    <row r="3585">
      <c r="A3585" s="28"/>
      <c r="B3585" s="1"/>
      <c r="C3585" s="29"/>
      <c r="D3585" s="27"/>
      <c r="E3585" s="27"/>
      <c r="F3585" s="27"/>
    </row>
    <row r="3586">
      <c r="A3586" s="28"/>
      <c r="B3586" s="1"/>
      <c r="C3586" s="29"/>
      <c r="D3586" s="27"/>
      <c r="E3586" s="27"/>
      <c r="F3586" s="27"/>
    </row>
    <row r="3587">
      <c r="A3587" s="28"/>
      <c r="B3587" s="1"/>
      <c r="C3587" s="29"/>
      <c r="D3587" s="27"/>
      <c r="E3587" s="27"/>
      <c r="F3587" s="27"/>
    </row>
    <row r="3588">
      <c r="A3588" s="28"/>
      <c r="B3588" s="1"/>
      <c r="C3588" s="29"/>
      <c r="D3588" s="27"/>
      <c r="E3588" s="27"/>
      <c r="F3588" s="27"/>
    </row>
    <row r="3589">
      <c r="A3589" s="28"/>
      <c r="B3589" s="1"/>
      <c r="C3589" s="29"/>
      <c r="D3589" s="27"/>
      <c r="E3589" s="27"/>
      <c r="F3589" s="27"/>
    </row>
    <row r="3590">
      <c r="A3590" s="28"/>
      <c r="B3590" s="1"/>
      <c r="C3590" s="29"/>
      <c r="D3590" s="27"/>
      <c r="E3590" s="27"/>
      <c r="F3590" s="27"/>
    </row>
    <row r="3591">
      <c r="A3591" s="28"/>
      <c r="B3591" s="1"/>
      <c r="C3591" s="29"/>
      <c r="D3591" s="27"/>
      <c r="E3591" s="27"/>
      <c r="F3591" s="27"/>
    </row>
    <row r="3592">
      <c r="A3592" s="28"/>
      <c r="B3592" s="1"/>
      <c r="C3592" s="29"/>
      <c r="D3592" s="27"/>
      <c r="E3592" s="27"/>
      <c r="F3592" s="27"/>
    </row>
    <row r="3593">
      <c r="A3593" s="28"/>
      <c r="B3593" s="1"/>
      <c r="C3593" s="29"/>
      <c r="D3593" s="27"/>
      <c r="E3593" s="27"/>
      <c r="F3593" s="27"/>
    </row>
    <row r="3594">
      <c r="A3594" s="28"/>
      <c r="B3594" s="1"/>
      <c r="C3594" s="29"/>
      <c r="D3594" s="27"/>
      <c r="E3594" s="27"/>
      <c r="F3594" s="27"/>
    </row>
    <row r="3595">
      <c r="A3595" s="28"/>
      <c r="B3595" s="1"/>
      <c r="C3595" s="29"/>
      <c r="D3595" s="27"/>
      <c r="E3595" s="27"/>
      <c r="F3595" s="27"/>
    </row>
    <row r="3596">
      <c r="A3596" s="28"/>
      <c r="B3596" s="1"/>
      <c r="C3596" s="29"/>
      <c r="D3596" s="27"/>
      <c r="E3596" s="27"/>
      <c r="F3596" s="27"/>
    </row>
    <row r="3597">
      <c r="A3597" s="28"/>
      <c r="B3597" s="1"/>
      <c r="C3597" s="29"/>
      <c r="D3597" s="27"/>
      <c r="E3597" s="27"/>
      <c r="F3597" s="27"/>
    </row>
    <row r="3598">
      <c r="A3598" s="28"/>
      <c r="B3598" s="1"/>
      <c r="C3598" s="29"/>
      <c r="D3598" s="27"/>
      <c r="E3598" s="27"/>
      <c r="F3598" s="27"/>
    </row>
    <row r="3599">
      <c r="A3599" s="28"/>
      <c r="B3599" s="1"/>
      <c r="C3599" s="29"/>
      <c r="D3599" s="27"/>
      <c r="E3599" s="27"/>
      <c r="F3599" s="27"/>
    </row>
    <row r="3600">
      <c r="A3600" s="28"/>
      <c r="B3600" s="1"/>
      <c r="C3600" s="29"/>
      <c r="D3600" s="27"/>
      <c r="E3600" s="27"/>
      <c r="F3600" s="27"/>
    </row>
    <row r="3601">
      <c r="A3601" s="28"/>
      <c r="B3601" s="1"/>
      <c r="C3601" s="29"/>
      <c r="D3601" s="27"/>
      <c r="E3601" s="27"/>
      <c r="F3601" s="27"/>
    </row>
    <row r="3602">
      <c r="A3602" s="28"/>
      <c r="B3602" s="1"/>
      <c r="C3602" s="29"/>
      <c r="D3602" s="27"/>
      <c r="E3602" s="27"/>
      <c r="F3602" s="27"/>
    </row>
    <row r="3603">
      <c r="A3603" s="28"/>
      <c r="B3603" s="1"/>
      <c r="C3603" s="29"/>
      <c r="D3603" s="27"/>
      <c r="E3603" s="27"/>
      <c r="F3603" s="27"/>
    </row>
    <row r="3604">
      <c r="A3604" s="28"/>
      <c r="B3604" s="1"/>
      <c r="C3604" s="29"/>
      <c r="D3604" s="27"/>
      <c r="E3604" s="27"/>
      <c r="F3604" s="27"/>
    </row>
    <row r="3605">
      <c r="A3605" s="28"/>
      <c r="B3605" s="1"/>
      <c r="C3605" s="29"/>
      <c r="D3605" s="27"/>
      <c r="E3605" s="27"/>
      <c r="F3605" s="27"/>
    </row>
    <row r="3606">
      <c r="A3606" s="28"/>
      <c r="B3606" s="1"/>
      <c r="C3606" s="29"/>
      <c r="D3606" s="27"/>
      <c r="E3606" s="27"/>
      <c r="F3606" s="27"/>
    </row>
    <row r="3607">
      <c r="A3607" s="28"/>
      <c r="B3607" s="1"/>
      <c r="C3607" s="29"/>
      <c r="D3607" s="27"/>
      <c r="E3607" s="27"/>
      <c r="F3607" s="27"/>
    </row>
    <row r="3608">
      <c r="A3608" s="28"/>
      <c r="B3608" s="1"/>
      <c r="C3608" s="29"/>
      <c r="D3608" s="27"/>
      <c r="E3608" s="27"/>
      <c r="F3608" s="27"/>
    </row>
    <row r="3609">
      <c r="A3609" s="28"/>
      <c r="B3609" s="1"/>
      <c r="C3609" s="29"/>
      <c r="D3609" s="27"/>
      <c r="E3609" s="27"/>
      <c r="F3609" s="27"/>
    </row>
    <row r="3610">
      <c r="A3610" s="28"/>
      <c r="B3610" s="1"/>
      <c r="C3610" s="29"/>
      <c r="D3610" s="27"/>
      <c r="E3610" s="27"/>
      <c r="F3610" s="27"/>
    </row>
    <row r="3611">
      <c r="A3611" s="28"/>
      <c r="B3611" s="1"/>
      <c r="C3611" s="29"/>
      <c r="D3611" s="27"/>
      <c r="E3611" s="27"/>
      <c r="F3611" s="27"/>
    </row>
    <row r="3612">
      <c r="A3612" s="28"/>
      <c r="B3612" s="1"/>
      <c r="C3612" s="29"/>
      <c r="D3612" s="27"/>
      <c r="E3612" s="27"/>
      <c r="F3612" s="27"/>
    </row>
    <row r="3613">
      <c r="A3613" s="28"/>
      <c r="B3613" s="1"/>
      <c r="C3613" s="29"/>
      <c r="D3613" s="27"/>
      <c r="E3613" s="27"/>
      <c r="F3613" s="27"/>
    </row>
    <row r="3614">
      <c r="A3614" s="28"/>
      <c r="B3614" s="1"/>
      <c r="C3614" s="29"/>
      <c r="D3614" s="27"/>
      <c r="E3614" s="27"/>
      <c r="F3614" s="27"/>
    </row>
    <row r="3615">
      <c r="A3615" s="28"/>
      <c r="B3615" s="1"/>
      <c r="C3615" s="29"/>
      <c r="D3615" s="27"/>
      <c r="E3615" s="27"/>
      <c r="F3615" s="27"/>
    </row>
    <row r="3616">
      <c r="A3616" s="28"/>
      <c r="B3616" s="1"/>
      <c r="C3616" s="29"/>
      <c r="D3616" s="27"/>
      <c r="E3616" s="27"/>
      <c r="F3616" s="27"/>
    </row>
    <row r="3617">
      <c r="A3617" s="28"/>
      <c r="B3617" s="1"/>
      <c r="C3617" s="29"/>
      <c r="D3617" s="27"/>
      <c r="E3617" s="27"/>
      <c r="F3617" s="27"/>
    </row>
    <row r="3618">
      <c r="A3618" s="28"/>
      <c r="B3618" s="1"/>
      <c r="C3618" s="29"/>
      <c r="D3618" s="27"/>
      <c r="E3618" s="27"/>
      <c r="F3618" s="27"/>
    </row>
    <row r="3619">
      <c r="A3619" s="28"/>
      <c r="B3619" s="1"/>
      <c r="C3619" s="29"/>
      <c r="D3619" s="27"/>
      <c r="E3619" s="27"/>
      <c r="F3619" s="27"/>
    </row>
    <row r="3620">
      <c r="A3620" s="28"/>
      <c r="B3620" s="1"/>
      <c r="C3620" s="29"/>
      <c r="D3620" s="27"/>
      <c r="E3620" s="27"/>
      <c r="F3620" s="27"/>
    </row>
    <row r="3621">
      <c r="A3621" s="28"/>
      <c r="B3621" s="1"/>
      <c r="C3621" s="29"/>
      <c r="D3621" s="27"/>
      <c r="E3621" s="27"/>
      <c r="F3621" s="27"/>
    </row>
    <row r="3622">
      <c r="A3622" s="28"/>
      <c r="B3622" s="1"/>
      <c r="C3622" s="29"/>
      <c r="D3622" s="27"/>
      <c r="E3622" s="27"/>
      <c r="F3622" s="27"/>
    </row>
    <row r="3623">
      <c r="A3623" s="28"/>
      <c r="B3623" s="1"/>
      <c r="C3623" s="29"/>
      <c r="D3623" s="27"/>
      <c r="E3623" s="27"/>
      <c r="F3623" s="27"/>
    </row>
    <row r="3624">
      <c r="A3624" s="28"/>
      <c r="B3624" s="1"/>
      <c r="C3624" s="29"/>
      <c r="D3624" s="27"/>
      <c r="E3624" s="27"/>
      <c r="F3624" s="27"/>
    </row>
    <row r="3625">
      <c r="A3625" s="28"/>
      <c r="B3625" s="1"/>
      <c r="C3625" s="29"/>
      <c r="D3625" s="27"/>
      <c r="E3625" s="27"/>
      <c r="F3625" s="27"/>
    </row>
    <row r="3626">
      <c r="A3626" s="28"/>
      <c r="B3626" s="1"/>
      <c r="C3626" s="29"/>
      <c r="D3626" s="27"/>
      <c r="E3626" s="27"/>
      <c r="F3626" s="27"/>
    </row>
    <row r="3627">
      <c r="A3627" s="28"/>
      <c r="B3627" s="1"/>
      <c r="C3627" s="29"/>
      <c r="D3627" s="27"/>
      <c r="E3627" s="27"/>
      <c r="F3627" s="27"/>
    </row>
    <row r="3628">
      <c r="A3628" s="28"/>
      <c r="B3628" s="1"/>
      <c r="C3628" s="29"/>
      <c r="D3628" s="27"/>
      <c r="E3628" s="27"/>
      <c r="F3628" s="27"/>
    </row>
    <row r="3629">
      <c r="A3629" s="28"/>
      <c r="B3629" s="1"/>
      <c r="C3629" s="29"/>
      <c r="D3629" s="27"/>
      <c r="E3629" s="27"/>
      <c r="F3629" s="27"/>
    </row>
    <row r="3630">
      <c r="A3630" s="28"/>
      <c r="B3630" s="1"/>
      <c r="C3630" s="29"/>
      <c r="D3630" s="27"/>
      <c r="E3630" s="27"/>
      <c r="F3630" s="27"/>
    </row>
    <row r="3631">
      <c r="A3631" s="28"/>
      <c r="B3631" s="1"/>
      <c r="C3631" s="29"/>
      <c r="D3631" s="27"/>
      <c r="E3631" s="27"/>
      <c r="F3631" s="27"/>
    </row>
    <row r="3632">
      <c r="A3632" s="28"/>
      <c r="B3632" s="1"/>
      <c r="C3632" s="29"/>
      <c r="D3632" s="27"/>
      <c r="E3632" s="27"/>
      <c r="F3632" s="27"/>
    </row>
    <row r="3633">
      <c r="A3633" s="28"/>
      <c r="B3633" s="1"/>
      <c r="C3633" s="29"/>
      <c r="D3633" s="27"/>
      <c r="E3633" s="27"/>
      <c r="F3633" s="27"/>
    </row>
    <row r="3634">
      <c r="A3634" s="28"/>
      <c r="B3634" s="1"/>
      <c r="C3634" s="29"/>
      <c r="D3634" s="27"/>
      <c r="E3634" s="27"/>
      <c r="F3634" s="27"/>
    </row>
    <row r="3635">
      <c r="A3635" s="28"/>
      <c r="B3635" s="1"/>
      <c r="C3635" s="29"/>
      <c r="D3635" s="27"/>
      <c r="E3635" s="27"/>
      <c r="F3635" s="27"/>
    </row>
    <row r="3636">
      <c r="A3636" s="28"/>
      <c r="B3636" s="1"/>
      <c r="C3636" s="29"/>
      <c r="D3636" s="27"/>
      <c r="E3636" s="27"/>
      <c r="F3636" s="27"/>
    </row>
    <row r="3637">
      <c r="A3637" s="28"/>
      <c r="B3637" s="1"/>
      <c r="C3637" s="29"/>
      <c r="D3637" s="27"/>
      <c r="E3637" s="27"/>
      <c r="F3637" s="27"/>
    </row>
    <row r="3638">
      <c r="A3638" s="28"/>
      <c r="B3638" s="1"/>
      <c r="C3638" s="29"/>
      <c r="D3638" s="27"/>
      <c r="E3638" s="27"/>
      <c r="F3638" s="27"/>
    </row>
    <row r="3639">
      <c r="A3639" s="28"/>
      <c r="B3639" s="1"/>
      <c r="C3639" s="29"/>
      <c r="D3639" s="27"/>
      <c r="E3639" s="27"/>
      <c r="F3639" s="27"/>
    </row>
    <row r="3640">
      <c r="A3640" s="28"/>
      <c r="B3640" s="1"/>
      <c r="C3640" s="29"/>
      <c r="D3640" s="27"/>
      <c r="E3640" s="27"/>
      <c r="F3640" s="27"/>
    </row>
    <row r="3641">
      <c r="A3641" s="28"/>
      <c r="B3641" s="1"/>
      <c r="C3641" s="29"/>
      <c r="D3641" s="27"/>
      <c r="E3641" s="27"/>
      <c r="F3641" s="27"/>
    </row>
    <row r="3642">
      <c r="A3642" s="28"/>
      <c r="B3642" s="1"/>
      <c r="C3642" s="29"/>
      <c r="D3642" s="27"/>
      <c r="E3642" s="27"/>
      <c r="F3642" s="27"/>
    </row>
    <row r="3643">
      <c r="A3643" s="28"/>
      <c r="B3643" s="1"/>
      <c r="C3643" s="29"/>
      <c r="D3643" s="27"/>
      <c r="E3643" s="27"/>
      <c r="F3643" s="27"/>
    </row>
    <row r="3644">
      <c r="A3644" s="28"/>
      <c r="B3644" s="1"/>
      <c r="C3644" s="29"/>
      <c r="D3644" s="27"/>
      <c r="E3644" s="27"/>
      <c r="F3644" s="27"/>
    </row>
    <row r="3645">
      <c r="A3645" s="28"/>
      <c r="B3645" s="1"/>
      <c r="C3645" s="29"/>
      <c r="D3645" s="27"/>
      <c r="E3645" s="27"/>
      <c r="F3645" s="27"/>
    </row>
    <row r="3646">
      <c r="A3646" s="28"/>
      <c r="B3646" s="1"/>
      <c r="C3646" s="29"/>
      <c r="D3646" s="27"/>
      <c r="E3646" s="27"/>
      <c r="F3646" s="27"/>
    </row>
    <row r="3647">
      <c r="A3647" s="28"/>
      <c r="B3647" s="1"/>
      <c r="C3647" s="29"/>
      <c r="D3647" s="27"/>
      <c r="E3647" s="27"/>
      <c r="F3647" s="27"/>
    </row>
    <row r="3648">
      <c r="A3648" s="28"/>
      <c r="B3648" s="1"/>
      <c r="C3648" s="29"/>
      <c r="D3648" s="27"/>
      <c r="E3648" s="27"/>
      <c r="F3648" s="27"/>
    </row>
    <row r="3649">
      <c r="A3649" s="28"/>
      <c r="B3649" s="1"/>
      <c r="C3649" s="29"/>
      <c r="D3649" s="27"/>
      <c r="E3649" s="27"/>
      <c r="F3649" s="27"/>
    </row>
    <row r="3650">
      <c r="A3650" s="28"/>
      <c r="B3650" s="1"/>
      <c r="C3650" s="29"/>
      <c r="D3650" s="27"/>
      <c r="E3650" s="27"/>
      <c r="F3650" s="27"/>
    </row>
    <row r="3651">
      <c r="A3651" s="28"/>
      <c r="B3651" s="1"/>
      <c r="C3651" s="29"/>
      <c r="D3651" s="27"/>
      <c r="E3651" s="27"/>
      <c r="F3651" s="27"/>
    </row>
    <row r="3652">
      <c r="A3652" s="28"/>
      <c r="B3652" s="1"/>
      <c r="C3652" s="29"/>
      <c r="D3652" s="27"/>
      <c r="E3652" s="27"/>
      <c r="F3652" s="27"/>
    </row>
    <row r="3653">
      <c r="A3653" s="28"/>
      <c r="B3653" s="1"/>
      <c r="C3653" s="29"/>
      <c r="D3653" s="27"/>
      <c r="E3653" s="27"/>
      <c r="F3653" s="27"/>
    </row>
    <row r="3654">
      <c r="A3654" s="28"/>
      <c r="B3654" s="1"/>
      <c r="C3654" s="29"/>
      <c r="D3654" s="27"/>
      <c r="E3654" s="27"/>
      <c r="F3654" s="27"/>
    </row>
    <row r="3655">
      <c r="A3655" s="28"/>
      <c r="B3655" s="1"/>
      <c r="C3655" s="29"/>
      <c r="D3655" s="27"/>
      <c r="E3655" s="27"/>
      <c r="F3655" s="27"/>
    </row>
    <row r="3656">
      <c r="A3656" s="28"/>
      <c r="B3656" s="1"/>
      <c r="C3656" s="29"/>
      <c r="D3656" s="27"/>
      <c r="E3656" s="27"/>
      <c r="F3656" s="27"/>
    </row>
    <row r="3657">
      <c r="A3657" s="28"/>
      <c r="B3657" s="1"/>
      <c r="C3657" s="29"/>
      <c r="D3657" s="27"/>
      <c r="E3657" s="27"/>
      <c r="F3657" s="27"/>
    </row>
    <row r="3658">
      <c r="A3658" s="28"/>
      <c r="B3658" s="1"/>
      <c r="C3658" s="29"/>
      <c r="D3658" s="27"/>
      <c r="E3658" s="27"/>
      <c r="F3658" s="27"/>
    </row>
    <row r="3659">
      <c r="A3659" s="28"/>
      <c r="B3659" s="1"/>
      <c r="C3659" s="29"/>
      <c r="D3659" s="27"/>
      <c r="E3659" s="27"/>
      <c r="F3659" s="27"/>
    </row>
    <row r="3660">
      <c r="A3660" s="28"/>
      <c r="B3660" s="1"/>
      <c r="C3660" s="29"/>
      <c r="D3660" s="27"/>
      <c r="E3660" s="27"/>
      <c r="F3660" s="27"/>
    </row>
    <row r="3661">
      <c r="A3661" s="28"/>
      <c r="B3661" s="1"/>
      <c r="C3661" s="29"/>
      <c r="D3661" s="27"/>
      <c r="E3661" s="27"/>
      <c r="F3661" s="27"/>
    </row>
    <row r="3662">
      <c r="A3662" s="28"/>
      <c r="B3662" s="1"/>
      <c r="C3662" s="29"/>
      <c r="D3662" s="27"/>
      <c r="E3662" s="27"/>
      <c r="F3662" s="27"/>
    </row>
    <row r="3663">
      <c r="A3663" s="28"/>
      <c r="B3663" s="1"/>
      <c r="C3663" s="29"/>
      <c r="D3663" s="27"/>
      <c r="E3663" s="27"/>
      <c r="F3663" s="27"/>
    </row>
  </sheetData>
  <customSheetViews>
    <customSheetView guid="{FD0E47CC-DA2D-4D8E-8458-0CC97C64C272}" filter="1" showAutoFilter="1">
      <autoFilter ref="$A$1:$D$1649"/>
    </customSheetView>
  </customSheetViews>
  <dataValidations>
    <dataValidation type="custom" allowBlank="1" showDropDown="1" sqref="A2:A1687">
      <formula1>OR(NOT(ISERROR(DATEVALUE(A2))), AND(ISNUMBER(A2), LEFT(CELL("format", A2))="D"))</formula1>
    </dataValidation>
    <dataValidation type="list" allowBlank="1" showDropDown="1" sqref="B2:B1687">
      <formula1>"ALPHARETTA ( Karen, Nancy, Carrey, Kelly, Jason),Collective Learning,DECATUR (Sonika),DUNWOODY/PTC (Marcy, Lisa, Darren, Renee, Suzanna, Sonika, Tracie),E COBB/ROSWELL (Natalie, Silke, Vicki, Rachel, Judy, Jenny),FLOWERY BRANCH (Kristina),GROUPS,GROUPS Nu"&amp;"mbers displayed only when not included in a host's count.,INTOWN/DRUID HILLS (Laura, Jordan, Angie, Della, Julie, Ashley),P'TREE CORNERS (Elaine, Renee V, Susannah, Tracie),SANDY SPRINGS (Allison, Jen, Terri, Sarah, Kate),SNELLVILLE,TestLocation,UGA/Athen"&amp;"s,PREVIOUS BUCKHEAD,Previous Glenwood Park,Previous Lenox/Brookhaven,Previous New Chastain,PREVIOUS OAK GROVE,Previous Woodstock"</formula1>
    </dataValidation>
    <dataValidation type="custom" allowBlank="1" showDropDown="1" sqref="A1690:A3663">
      <formula1>OR(NOT(ISERROR(DATEVALUE(A1690))), AND(ISNUMBER(A1690), LEFT(CELL("format", A1690))="D"))</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75"/>
  <cols>
    <col customWidth="1" min="1" max="1" width="7.67"/>
    <col customWidth="1" min="2" max="2" width="12.89"/>
    <col customWidth="1" min="3" max="3" width="11.78"/>
    <col customWidth="1" min="4" max="5" width="9.44"/>
    <col customWidth="1" min="6" max="6" width="15.33"/>
    <col customWidth="1" min="7" max="7" width="14.89"/>
    <col customWidth="1" min="8" max="8" width="9.89"/>
    <col customWidth="1" min="9" max="9" width="7.89"/>
    <col customWidth="1" min="10" max="10" width="11.89"/>
    <col customWidth="1" min="11" max="11" width="9.78"/>
    <col customWidth="1" min="12" max="17" width="9.44"/>
    <col customWidth="1" min="18" max="18" width="10.11"/>
    <col customWidth="1" min="19" max="20" width="11.22"/>
    <col customWidth="1" min="21" max="21" width="11.56"/>
    <col customWidth="1" min="22" max="22" width="11.22"/>
    <col customWidth="1" min="23" max="23" width="9.22"/>
    <col customWidth="1" min="24" max="24" width="5.56"/>
    <col customWidth="1" min="25" max="25" width="9.11"/>
    <col customWidth="1" min="26" max="26" width="8.56"/>
  </cols>
  <sheetData>
    <row r="1" ht="34.5" customHeight="1"/>
    <row r="2">
      <c r="V2" s="35"/>
    </row>
    <row r="3">
      <c r="V3" s="38"/>
    </row>
    <row r="4">
      <c r="V4" s="38"/>
    </row>
    <row r="5">
      <c r="V5" s="38"/>
    </row>
    <row r="6">
      <c r="V6" s="38"/>
    </row>
    <row r="7">
      <c r="V7" s="38"/>
    </row>
    <row r="8">
      <c r="V8" s="38"/>
    </row>
    <row r="9">
      <c r="V9" s="38"/>
    </row>
    <row r="10">
      <c r="V10" s="38"/>
    </row>
    <row r="11">
      <c r="V11" s="38"/>
    </row>
    <row r="12">
      <c r="V12" s="38"/>
    </row>
    <row r="13">
      <c r="V13" s="38"/>
    </row>
    <row r="14">
      <c r="V14" s="38"/>
    </row>
    <row r="15">
      <c r="V15" s="38"/>
    </row>
    <row r="16">
      <c r="V16" s="38"/>
    </row>
    <row r="17">
      <c r="V17" s="38"/>
    </row>
    <row r="18">
      <c r="V18" s="38"/>
    </row>
    <row r="19">
      <c r="V19" s="38"/>
    </row>
    <row r="20">
      <c r="V20" s="38"/>
    </row>
    <row r="21">
      <c r="V21" s="38"/>
    </row>
    <row r="22">
      <c r="V22" s="38"/>
    </row>
    <row r="23">
      <c r="V23" s="38"/>
    </row>
    <row r="24">
      <c r="V24" s="38"/>
    </row>
    <row r="25">
      <c r="V25" s="38"/>
    </row>
    <row r="26">
      <c r="V26" s="38"/>
    </row>
    <row r="27">
      <c r="V27" s="38"/>
    </row>
    <row r="28">
      <c r="V28" s="38"/>
    </row>
    <row r="29">
      <c r="V29" s="38"/>
    </row>
    <row r="30">
      <c r="V30" s="38"/>
    </row>
    <row r="31">
      <c r="V31" s="38"/>
    </row>
    <row r="32">
      <c r="V32" s="38"/>
    </row>
    <row r="33">
      <c r="V33" s="38"/>
    </row>
    <row r="34">
      <c r="V34" s="38"/>
    </row>
    <row r="35">
      <c r="V35" s="38"/>
    </row>
    <row r="36">
      <c r="V36" s="38"/>
    </row>
    <row r="37">
      <c r="V37" s="38"/>
    </row>
    <row r="38">
      <c r="V38" s="38"/>
    </row>
    <row r="39">
      <c r="V39" s="38"/>
    </row>
    <row r="40">
      <c r="V40" s="38"/>
    </row>
    <row r="41">
      <c r="V41" s="38"/>
    </row>
    <row r="42">
      <c r="V42" s="38"/>
    </row>
    <row r="43">
      <c r="V43" s="38"/>
    </row>
    <row r="44">
      <c r="V44" s="38"/>
    </row>
    <row r="45">
      <c r="V45" s="38"/>
    </row>
    <row r="46">
      <c r="V46" s="38"/>
    </row>
    <row r="47">
      <c r="V47" s="38"/>
    </row>
    <row r="48">
      <c r="V48" s="38"/>
    </row>
    <row r="49">
      <c r="V49" s="38"/>
    </row>
    <row r="50">
      <c r="V50" s="38"/>
    </row>
    <row r="51">
      <c r="V51" s="38"/>
    </row>
    <row r="52">
      <c r="V52" s="38"/>
    </row>
    <row r="53">
      <c r="V53" s="38"/>
    </row>
    <row r="54">
      <c r="V54" s="38"/>
    </row>
    <row r="55">
      <c r="V55" s="38"/>
    </row>
    <row r="56">
      <c r="V56" s="38"/>
    </row>
    <row r="57">
      <c r="V57" s="38"/>
    </row>
    <row r="58">
      <c r="V58" s="38"/>
    </row>
    <row r="59">
      <c r="V59" s="38"/>
    </row>
    <row r="60">
      <c r="V60" s="38"/>
    </row>
    <row r="61">
      <c r="V61" s="38"/>
    </row>
    <row r="62">
      <c r="V62" s="38"/>
    </row>
    <row r="63">
      <c r="V63" s="38"/>
    </row>
    <row r="64">
      <c r="V64" s="38"/>
    </row>
    <row r="65">
      <c r="V65" s="38"/>
    </row>
    <row r="66">
      <c r="V66" s="38"/>
    </row>
    <row r="67">
      <c r="V67" s="38"/>
    </row>
    <row r="68">
      <c r="V68" s="38"/>
    </row>
    <row r="69">
      <c r="V69" s="38"/>
    </row>
    <row r="70">
      <c r="V70" s="38"/>
    </row>
    <row r="71">
      <c r="V71" s="38"/>
    </row>
    <row r="72">
      <c r="V72" s="38"/>
    </row>
    <row r="73">
      <c r="V73" s="38"/>
    </row>
    <row r="74">
      <c r="V74" s="38"/>
    </row>
    <row r="75">
      <c r="V75" s="38"/>
    </row>
    <row r="76">
      <c r="V76" s="38"/>
    </row>
    <row r="77">
      <c r="V77" s="38"/>
    </row>
    <row r="78">
      <c r="V78" s="38"/>
    </row>
    <row r="79">
      <c r="V79" s="38"/>
    </row>
    <row r="80">
      <c r="V80" s="38"/>
    </row>
    <row r="81">
      <c r="V81" s="38"/>
    </row>
    <row r="82">
      <c r="V82" s="38"/>
    </row>
    <row r="83">
      <c r="V83" s="38"/>
    </row>
    <row r="84">
      <c r="V84" s="38"/>
    </row>
    <row r="85">
      <c r="V85" s="38"/>
    </row>
    <row r="86">
      <c r="V86" s="38"/>
    </row>
    <row r="87">
      <c r="V87" s="38"/>
    </row>
    <row r="88">
      <c r="V88" s="38"/>
    </row>
    <row r="89">
      <c r="V89" s="38"/>
    </row>
    <row r="90">
      <c r="V90" s="38"/>
    </row>
    <row r="91">
      <c r="V91" s="38"/>
    </row>
    <row r="92">
      <c r="V92" s="38"/>
    </row>
    <row r="93">
      <c r="V93" s="38"/>
    </row>
    <row r="94">
      <c r="V94" s="38"/>
    </row>
    <row r="95">
      <c r="V95" s="38"/>
    </row>
    <row r="96">
      <c r="V96" s="38"/>
    </row>
    <row r="97"/>
    <row r="98">
      <c r="V98" s="38"/>
    </row>
    <row r="99">
      <c r="V99" s="38"/>
    </row>
    <row r="100">
      <c r="V100" s="38"/>
    </row>
    <row r="101">
      <c r="V101" s="38"/>
    </row>
    <row r="102">
      <c r="V102" s="38"/>
    </row>
    <row r="103">
      <c r="V103" s="38"/>
    </row>
    <row r="104">
      <c r="V104" s="38"/>
    </row>
    <row r="105">
      <c r="V105" s="38"/>
    </row>
    <row r="106">
      <c r="V106" s="38"/>
    </row>
    <row r="107">
      <c r="V107" s="38"/>
    </row>
    <row r="108">
      <c r="V108" s="38"/>
    </row>
    <row r="109">
      <c r="V109" s="38"/>
    </row>
    <row r="110">
      <c r="V110" s="38"/>
    </row>
    <row r="111">
      <c r="V111" s="38"/>
    </row>
    <row r="112">
      <c r="V112" s="38"/>
    </row>
    <row r="113">
      <c r="V113" s="38"/>
    </row>
    <row r="114">
      <c r="V114" s="38"/>
    </row>
    <row r="115">
      <c r="V115" s="38"/>
    </row>
    <row r="116">
      <c r="V116" s="38"/>
    </row>
    <row r="117">
      <c r="V117" s="38"/>
    </row>
    <row r="118">
      <c r="V118" s="38"/>
    </row>
    <row r="119">
      <c r="V119" s="38"/>
    </row>
    <row r="120">
      <c r="V120" s="38"/>
    </row>
    <row r="121">
      <c r="V121" s="38"/>
    </row>
    <row r="122">
      <c r="V122" s="38"/>
    </row>
    <row r="123">
      <c r="V123" s="38"/>
    </row>
    <row r="124">
      <c r="V124" s="38"/>
    </row>
    <row r="125">
      <c r="V125" s="38"/>
    </row>
    <row r="126">
      <c r="V126" s="38"/>
    </row>
    <row r="127">
      <c r="V127" s="38"/>
    </row>
    <row r="128">
      <c r="V128" s="38"/>
    </row>
    <row r="129">
      <c r="V129" s="38"/>
    </row>
    <row r="130">
      <c r="V130" s="38"/>
    </row>
    <row r="131">
      <c r="V131" s="38"/>
    </row>
    <row r="132">
      <c r="V132" s="38"/>
    </row>
    <row r="133">
      <c r="V133" s="38"/>
    </row>
    <row r="134">
      <c r="V134" s="38"/>
    </row>
    <row r="135">
      <c r="V135" s="38"/>
    </row>
    <row r="136">
      <c r="V136" s="38"/>
    </row>
    <row r="137">
      <c r="V137" s="38"/>
    </row>
    <row r="138">
      <c r="V138" s="38"/>
    </row>
    <row r="139">
      <c r="V139" s="38"/>
    </row>
    <row r="140">
      <c r="V140" s="38"/>
    </row>
    <row r="141">
      <c r="V141" s="38"/>
    </row>
    <row r="142">
      <c r="V142" s="38"/>
    </row>
    <row r="143">
      <c r="V143" s="38"/>
    </row>
    <row r="144">
      <c r="V144" s="38"/>
    </row>
    <row r="145">
      <c r="V145" s="38"/>
    </row>
    <row r="146">
      <c r="V146" s="38"/>
    </row>
    <row r="147">
      <c r="V147" s="38"/>
    </row>
    <row r="148">
      <c r="V148" s="38"/>
    </row>
    <row r="149">
      <c r="V149" s="38"/>
    </row>
    <row r="150">
      <c r="V150" s="38"/>
    </row>
    <row r="151">
      <c r="V151" s="38"/>
    </row>
    <row r="152">
      <c r="V152" s="38"/>
    </row>
    <row r="153">
      <c r="V153" s="38"/>
    </row>
    <row r="154">
      <c r="V154" s="38"/>
    </row>
    <row r="155">
      <c r="V155" s="38"/>
    </row>
    <row r="156">
      <c r="V156" s="38"/>
    </row>
    <row r="157">
      <c r="V157" s="38"/>
    </row>
    <row r="158">
      <c r="V158" s="38"/>
    </row>
    <row r="159">
      <c r="V159" s="38"/>
    </row>
    <row r="160">
      <c r="V160" s="38"/>
    </row>
    <row r="161">
      <c r="V161" s="38"/>
    </row>
    <row r="162">
      <c r="V162" s="38"/>
    </row>
    <row r="163">
      <c r="V163" s="38"/>
    </row>
    <row r="164">
      <c r="V164" s="38"/>
    </row>
    <row r="165">
      <c r="V165" s="38"/>
    </row>
    <row r="166">
      <c r="V166" s="38"/>
    </row>
    <row r="167">
      <c r="V167" s="38"/>
    </row>
    <row r="168">
      <c r="V168" s="38"/>
    </row>
    <row r="169">
      <c r="V169" s="38"/>
    </row>
    <row r="170">
      <c r="V170" s="38"/>
    </row>
    <row r="171">
      <c r="V171" s="38"/>
    </row>
    <row r="172">
      <c r="V172" s="38"/>
    </row>
    <row r="173">
      <c r="V173" s="38"/>
    </row>
    <row r="174">
      <c r="V174" s="38"/>
    </row>
    <row r="175">
      <c r="V175" s="38"/>
    </row>
    <row r="176">
      <c r="V176" s="38"/>
    </row>
    <row r="177">
      <c r="V177" s="38"/>
    </row>
    <row r="178">
      <c r="V178" s="38"/>
    </row>
    <row r="179">
      <c r="V179" s="38"/>
    </row>
    <row r="180">
      <c r="V180" s="38"/>
    </row>
    <row r="181">
      <c r="V181" s="38"/>
    </row>
    <row r="182">
      <c r="V182" s="38"/>
    </row>
    <row r="183">
      <c r="V183" s="38"/>
    </row>
    <row r="184">
      <c r="V184" s="38"/>
    </row>
    <row r="185">
      <c r="V185" s="38"/>
    </row>
    <row r="186">
      <c r="V186" s="38"/>
    </row>
    <row r="187">
      <c r="V187" s="38"/>
    </row>
    <row r="188">
      <c r="V188" s="38"/>
    </row>
    <row r="189">
      <c r="V189" s="38"/>
    </row>
    <row r="190">
      <c r="V190" s="38"/>
    </row>
    <row r="191">
      <c r="V191" s="38"/>
    </row>
    <row r="192">
      <c r="V192" s="38"/>
    </row>
    <row r="193">
      <c r="V193" s="38"/>
    </row>
    <row r="194">
      <c r="V194" s="38"/>
    </row>
    <row r="195">
      <c r="V195" s="38"/>
    </row>
    <row r="196">
      <c r="V196" s="38"/>
    </row>
    <row r="197">
      <c r="V197" s="38"/>
    </row>
    <row r="198">
      <c r="V198" s="38"/>
    </row>
    <row r="199">
      <c r="V199" s="38"/>
    </row>
    <row r="200">
      <c r="V200" s="38"/>
    </row>
    <row r="201">
      <c r="V201" s="38"/>
    </row>
    <row r="202">
      <c r="V202" s="38"/>
    </row>
    <row r="203">
      <c r="V203" s="38"/>
    </row>
    <row r="204">
      <c r="V204" s="38"/>
    </row>
    <row r="205">
      <c r="V205" s="38"/>
    </row>
    <row r="206">
      <c r="V206" s="38"/>
    </row>
    <row r="207">
      <c r="V207" s="38"/>
    </row>
    <row r="208">
      <c r="V208" s="38"/>
    </row>
    <row r="209">
      <c r="V209" s="38"/>
    </row>
    <row r="210">
      <c r="V210" s="38"/>
    </row>
    <row r="211">
      <c r="V211" s="38"/>
    </row>
    <row r="212">
      <c r="V212" s="38"/>
    </row>
    <row r="213">
      <c r="V213" s="38"/>
    </row>
    <row r="214">
      <c r="V214" s="38"/>
    </row>
    <row r="215">
      <c r="V215" s="38"/>
    </row>
    <row r="216">
      <c r="V216" s="38"/>
    </row>
    <row r="217">
      <c r="V217" s="38"/>
    </row>
    <row r="218">
      <c r="V218" s="38"/>
    </row>
    <row r="219">
      <c r="V219" s="38"/>
    </row>
    <row r="220">
      <c r="V220" s="38"/>
    </row>
    <row r="221">
      <c r="V221" s="38"/>
    </row>
    <row r="222">
      <c r="V222" s="38"/>
    </row>
    <row r="223">
      <c r="V223" s="38"/>
    </row>
    <row r="224">
      <c r="V224" s="38"/>
    </row>
    <row r="225">
      <c r="V225" s="38"/>
    </row>
    <row r="226">
      <c r="V226" s="38"/>
    </row>
    <row r="227">
      <c r="V227" s="38"/>
    </row>
    <row r="228">
      <c r="V228" s="38"/>
    </row>
    <row r="229">
      <c r="V229" s="38"/>
    </row>
    <row r="230">
      <c r="V230" s="38"/>
    </row>
    <row r="231">
      <c r="V231" s="38"/>
    </row>
    <row r="232">
      <c r="V232" s="38"/>
    </row>
    <row r="233">
      <c r="V233" s="38"/>
    </row>
    <row r="234">
      <c r="V234" s="38"/>
    </row>
    <row r="235">
      <c r="V235" s="38"/>
    </row>
    <row r="236">
      <c r="V236" s="38"/>
    </row>
    <row r="237">
      <c r="V237" s="38"/>
    </row>
    <row r="238">
      <c r="V238" s="38"/>
    </row>
    <row r="239">
      <c r="V239" s="38"/>
    </row>
    <row r="240">
      <c r="V240" s="38"/>
    </row>
    <row r="241">
      <c r="V241" s="38"/>
    </row>
    <row r="242">
      <c r="V242" s="38"/>
    </row>
    <row r="243">
      <c r="V243" s="38"/>
    </row>
    <row r="244">
      <c r="V244" s="38"/>
    </row>
    <row r="245">
      <c r="V245" s="38"/>
    </row>
    <row r="246">
      <c r="V246" s="38"/>
    </row>
    <row r="247">
      <c r="V247" s="38"/>
    </row>
    <row r="248">
      <c r="V248" s="38"/>
    </row>
    <row r="249">
      <c r="V249" s="38"/>
    </row>
    <row r="250">
      <c r="V250" s="38"/>
    </row>
    <row r="251">
      <c r="V251" s="38"/>
    </row>
    <row r="252">
      <c r="V252" s="38"/>
    </row>
    <row r="253">
      <c r="V253" s="38"/>
    </row>
    <row r="254">
      <c r="V254" s="38"/>
    </row>
    <row r="255">
      <c r="V255" s="38"/>
    </row>
    <row r="256">
      <c r="V256" s="38"/>
    </row>
    <row r="257">
      <c r="V257" s="38"/>
    </row>
    <row r="258">
      <c r="V258" s="38"/>
    </row>
    <row r="259">
      <c r="V259" s="38"/>
    </row>
    <row r="260">
      <c r="V260" s="38"/>
    </row>
    <row r="261">
      <c r="V261" s="38"/>
    </row>
    <row r="262">
      <c r="V262" s="38"/>
    </row>
    <row r="263">
      <c r="V263" s="38"/>
    </row>
    <row r="264">
      <c r="V264" s="38"/>
    </row>
    <row r="265">
      <c r="V265" s="38"/>
    </row>
    <row r="266">
      <c r="V266" s="38"/>
    </row>
    <row r="267">
      <c r="V267" s="38"/>
    </row>
    <row r="268">
      <c r="V268" s="38"/>
    </row>
    <row r="269">
      <c r="V269" s="38"/>
    </row>
    <row r="270">
      <c r="V270" s="38"/>
    </row>
    <row r="271">
      <c r="V271" s="45"/>
    </row>
    <row r="272">
      <c r="V272" s="45"/>
    </row>
    <row r="273"/>
    <row r="274"/>
    <row r="275"/>
    <row r="276"/>
    <row r="277"/>
  </sheetData>
  <printOptions gridLines="1" horizontalCentered="1"/>
  <pageMargins bottom="0.75" footer="0.0" header="0.0" left="0.7" right="0.7" top="0.75"/>
  <pageSetup fitToHeight="0" cellComments="atEnd" orientation="landscape" pageOrder="overThenDown"/>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sheetData>
    <row r="1">
      <c r="A1" s="47" t="s">
        <v>27</v>
      </c>
      <c r="B1" s="48" t="s">
        <v>28</v>
      </c>
      <c r="C1" s="49" t="s">
        <v>29</v>
      </c>
      <c r="D1" s="48" t="s">
        <v>30</v>
      </c>
      <c r="E1" s="48" t="s">
        <v>31</v>
      </c>
      <c r="F1" s="48" t="s">
        <v>32</v>
      </c>
      <c r="G1" s="50" t="s">
        <v>33</v>
      </c>
    </row>
    <row r="2">
      <c r="A2" s="51">
        <v>45834.0</v>
      </c>
      <c r="B2" s="52" t="s">
        <v>35</v>
      </c>
      <c r="C2" s="52">
        <v>2466.0</v>
      </c>
      <c r="D2" s="52">
        <v>26.0</v>
      </c>
      <c r="E2" s="52">
        <v>275.0</v>
      </c>
      <c r="F2" s="52">
        <v>2025.0</v>
      </c>
      <c r="G2" s="53"/>
    </row>
    <row r="3">
      <c r="A3" s="51">
        <v>45834.0</v>
      </c>
      <c r="B3" s="52" t="s">
        <v>51</v>
      </c>
      <c r="C3" s="52">
        <v>300.0</v>
      </c>
      <c r="D3" s="52">
        <v>26.0</v>
      </c>
      <c r="E3" s="52">
        <v>275.0</v>
      </c>
      <c r="F3" s="52">
        <v>2025.0</v>
      </c>
      <c r="G3" s="53"/>
    </row>
    <row r="4">
      <c r="A4" s="51">
        <v>45834.0</v>
      </c>
      <c r="B4" s="52" t="s">
        <v>36</v>
      </c>
      <c r="C4" s="54">
        <v>2991.0</v>
      </c>
      <c r="D4" s="52">
        <v>26.0</v>
      </c>
      <c r="E4" s="52">
        <v>275.0</v>
      </c>
      <c r="F4" s="52">
        <v>2025.0</v>
      </c>
      <c r="G4" s="53"/>
    </row>
    <row r="5">
      <c r="A5" s="51">
        <v>45834.0</v>
      </c>
      <c r="B5" s="52" t="s">
        <v>37</v>
      </c>
      <c r="C5" s="52">
        <v>1960.0</v>
      </c>
      <c r="D5" s="52">
        <v>26.0</v>
      </c>
      <c r="E5" s="52">
        <v>275.0</v>
      </c>
      <c r="F5" s="52">
        <v>2025.0</v>
      </c>
      <c r="G5" s="53"/>
    </row>
    <row r="6">
      <c r="A6" s="51">
        <v>45834.0</v>
      </c>
      <c r="B6" s="52" t="s">
        <v>34</v>
      </c>
      <c r="C6" s="52">
        <v>3260.0</v>
      </c>
      <c r="D6" s="52">
        <v>26.0</v>
      </c>
      <c r="E6" s="52">
        <v>275.0</v>
      </c>
      <c r="F6" s="52">
        <v>2025.0</v>
      </c>
      <c r="G6" s="53"/>
    </row>
    <row r="7">
      <c r="A7" s="51">
        <v>45834.0</v>
      </c>
      <c r="B7" s="52" t="s">
        <v>50</v>
      </c>
      <c r="C7" s="52">
        <v>1312.0</v>
      </c>
      <c r="D7" s="52">
        <v>26.0</v>
      </c>
      <c r="E7" s="52">
        <v>275.0</v>
      </c>
      <c r="F7" s="52">
        <v>2025.0</v>
      </c>
      <c r="G7" s="53"/>
    </row>
    <row r="8">
      <c r="A8" s="51">
        <v>45834.0</v>
      </c>
      <c r="B8" s="52" t="s">
        <v>40</v>
      </c>
      <c r="C8" s="52">
        <v>667.0</v>
      </c>
      <c r="D8" s="52">
        <v>26.0</v>
      </c>
      <c r="E8" s="52">
        <v>275.0</v>
      </c>
      <c r="F8" s="52">
        <v>2025.0</v>
      </c>
      <c r="G8" s="5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sheetData>
    <row r="1">
      <c r="A1" s="47" t="s">
        <v>27</v>
      </c>
      <c r="B1" s="48" t="s">
        <v>28</v>
      </c>
      <c r="C1" s="49" t="s">
        <v>29</v>
      </c>
      <c r="D1" s="48" t="s">
        <v>30</v>
      </c>
      <c r="E1" s="48" t="s">
        <v>31</v>
      </c>
      <c r="F1" s="48" t="s">
        <v>32</v>
      </c>
      <c r="G1" s="50" t="s">
        <v>33</v>
      </c>
    </row>
    <row r="2">
      <c r="A2" s="51">
        <v>44699.0</v>
      </c>
      <c r="B2" s="52" t="s">
        <v>50</v>
      </c>
      <c r="C2" s="52">
        <v>450.0</v>
      </c>
      <c r="D2" s="52">
        <v>21.0</v>
      </c>
      <c r="E2" s="52">
        <v>111.0</v>
      </c>
      <c r="F2" s="52">
        <v>2022.0</v>
      </c>
      <c r="G2" s="53"/>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1.22" defaultRowHeight="15.75"/>
  <cols>
    <col customWidth="1" min="2" max="2" width="11.11"/>
    <col hidden="1" min="9" max="9" width="11.22"/>
    <col hidden="1" min="20" max="20" width="11.22"/>
  </cols>
  <sheetData>
    <row r="1"/>
    <row r="2" ht="30.0" customHeight="1"/>
    <row r="3"/>
    <row r="4">
      <c r="M4" s="60" t="s">
        <v>32</v>
      </c>
      <c r="N4" s="61">
        <v>2020.0</v>
      </c>
      <c r="O4" s="61">
        <v>2021.0</v>
      </c>
      <c r="P4" s="62">
        <v>2022.0</v>
      </c>
      <c r="Q4" s="62">
        <v>2023.0</v>
      </c>
      <c r="R4" s="62">
        <v>2024.0</v>
      </c>
      <c r="S4" s="62">
        <v>2025.0</v>
      </c>
      <c r="T4" s="62">
        <v>2026.0</v>
      </c>
    </row>
    <row r="5">
      <c r="M5" s="63" t="s">
        <v>67</v>
      </c>
      <c r="N5" s="64">
        <f t="shared" ref="N5:T5" si="1">Average(C3:C55)</f>
        <v>1184.638889</v>
      </c>
      <c r="O5" s="64">
        <f t="shared" si="1"/>
        <v>5567.66</v>
      </c>
      <c r="P5" s="65">
        <f t="shared" si="1"/>
        <v>8799.183673</v>
      </c>
      <c r="Q5" s="65">
        <f t="shared" si="1"/>
        <v>10191.375</v>
      </c>
      <c r="R5" s="65">
        <f t="shared" si="1"/>
        <v>9304.84</v>
      </c>
      <c r="S5" s="65">
        <f t="shared" si="1"/>
        <v>9317.354839</v>
      </c>
      <c r="T5" s="65">
        <f t="shared" si="1"/>
        <v>0</v>
      </c>
    </row>
    <row r="6"/>
    <row r="7"/>
    <row r="8">
      <c r="M8" s="66" t="s">
        <v>71</v>
      </c>
      <c r="N8" s="67"/>
      <c r="O8" s="67"/>
      <c r="P8" s="67"/>
      <c r="Q8" s="67"/>
      <c r="R8" s="67"/>
      <c r="S8" s="67"/>
    </row>
    <row r="9">
      <c r="M9" s="68" t="s">
        <v>73</v>
      </c>
      <c r="N9" s="69">
        <v>2020.0</v>
      </c>
      <c r="O9" s="69">
        <v>2021.0</v>
      </c>
      <c r="P9" s="69">
        <v>2022.0</v>
      </c>
      <c r="Q9" s="69">
        <v>2023.0</v>
      </c>
      <c r="R9" s="69">
        <v>2024.0</v>
      </c>
      <c r="S9" s="70">
        <v>2025.0</v>
      </c>
      <c r="T9" s="62">
        <v>2026.0</v>
      </c>
    </row>
    <row r="10">
      <c r="M10" s="71" t="s">
        <v>75</v>
      </c>
      <c r="N10" s="72">
        <f>weeknum("1/20/2020")</f>
        <v>4</v>
      </c>
      <c r="O10" s="72">
        <f>weeknum("1/18/2021")</f>
        <v>4</v>
      </c>
      <c r="P10" s="72">
        <f>weeknum("1/17/2022")</f>
        <v>4</v>
      </c>
      <c r="Q10" s="72">
        <v>3.0</v>
      </c>
      <c r="R10" s="72">
        <v>4.0</v>
      </c>
      <c r="S10" s="73">
        <v>4.0</v>
      </c>
      <c r="T10" s="74"/>
    </row>
    <row r="11">
      <c r="M11" s="75" t="s">
        <v>77</v>
      </c>
      <c r="N11" s="76">
        <f>weeknum("5/24/2020")</f>
        <v>22</v>
      </c>
      <c r="O11" s="76">
        <f>weeknum("5/26/2021")</f>
        <v>22</v>
      </c>
      <c r="P11" s="76">
        <f>weeknum("5/26/2022")</f>
        <v>22</v>
      </c>
      <c r="Q11" s="76">
        <v>21.0</v>
      </c>
      <c r="R11" s="76">
        <v>22.0</v>
      </c>
      <c r="S11" s="77">
        <v>22.0</v>
      </c>
      <c r="T11" s="78"/>
    </row>
    <row r="12">
      <c r="M12" s="79" t="s">
        <v>79</v>
      </c>
      <c r="N12" s="72">
        <f>weeknum("8/24/2020")</f>
        <v>35</v>
      </c>
      <c r="O12" s="72">
        <f>weeknum("8/5/2021")</f>
        <v>32</v>
      </c>
      <c r="P12" s="72">
        <f>weeknum("8/1/2022")</f>
        <v>32</v>
      </c>
      <c r="Q12" s="72">
        <v>31.0</v>
      </c>
      <c r="R12" s="72">
        <v>31.0</v>
      </c>
      <c r="S12" s="73">
        <v>31.0</v>
      </c>
      <c r="T12" s="74"/>
    </row>
    <row r="13">
      <c r="M13" s="75" t="s">
        <v>81</v>
      </c>
      <c r="N13" s="76">
        <f>weeknum("11/26/2020")</f>
        <v>48</v>
      </c>
      <c r="O13" s="76">
        <f>weeknum("5/26/2021")</f>
        <v>22</v>
      </c>
      <c r="P13" s="76">
        <f>weeknum("11/24/2022")</f>
        <v>48</v>
      </c>
      <c r="Q13" s="76">
        <v>47.0</v>
      </c>
      <c r="R13" s="76">
        <v>48.0</v>
      </c>
      <c r="S13" s="77">
        <v>48.0</v>
      </c>
      <c r="T13" s="78"/>
    </row>
    <row r="14">
      <c r="M14" s="79" t="s">
        <v>83</v>
      </c>
      <c r="N14" s="72">
        <f>weeknum("12/25/2020")</f>
        <v>52</v>
      </c>
      <c r="O14" s="72">
        <f>weeknum("12/25/2022")</f>
        <v>53</v>
      </c>
      <c r="P14" s="72">
        <f>weeknum("12/25/2021")</f>
        <v>52</v>
      </c>
      <c r="Q14" s="72">
        <v>52.0</v>
      </c>
      <c r="R14" s="72">
        <v>52.0</v>
      </c>
      <c r="S14" s="73">
        <v>52.0</v>
      </c>
      <c r="T14" s="74"/>
    </row>
    <row r="15">
      <c r="M15" s="80" t="s">
        <v>85</v>
      </c>
      <c r="N15" s="81"/>
      <c r="O15" s="81"/>
      <c r="P15" s="81"/>
      <c r="Q15" s="81"/>
      <c r="R15" s="81"/>
      <c r="S15" s="82"/>
      <c r="T15" s="81"/>
    </row>
    <row r="16">
      <c r="M16" s="75" t="s">
        <v>87</v>
      </c>
      <c r="N16" s="76"/>
      <c r="O16" s="76"/>
      <c r="P16" s="76"/>
      <c r="Q16" s="76"/>
      <c r="R16" s="76"/>
      <c r="S16" s="77"/>
      <c r="T16" s="78"/>
    </row>
    <row r="17">
      <c r="M17" s="75"/>
      <c r="N17" s="76"/>
      <c r="O17" s="76"/>
      <c r="P17" s="76"/>
      <c r="Q17" s="76"/>
      <c r="R17" s="76"/>
      <c r="S17" s="77"/>
      <c r="T17" s="78"/>
    </row>
    <row r="18">
      <c r="M18" s="75"/>
      <c r="N18" s="76"/>
      <c r="O18" s="76"/>
      <c r="P18" s="76"/>
      <c r="Q18" s="76"/>
      <c r="R18" s="76"/>
      <c r="S18" s="77"/>
      <c r="T18" s="78"/>
    </row>
    <row r="19">
      <c r="M19" s="75"/>
      <c r="N19" s="76"/>
      <c r="O19" s="76"/>
      <c r="P19" s="76"/>
      <c r="Q19" s="76"/>
      <c r="R19" s="76"/>
      <c r="S19" s="77"/>
      <c r="T19" s="78"/>
    </row>
    <row r="20">
      <c r="M20" s="75"/>
      <c r="N20" s="76"/>
      <c r="O20" s="76"/>
      <c r="P20" s="76"/>
      <c r="Q20" s="76"/>
      <c r="R20" s="76"/>
      <c r="S20" s="77"/>
      <c r="T20" s="78"/>
    </row>
    <row r="21">
      <c r="M21" s="75"/>
      <c r="N21" s="76"/>
      <c r="O21" s="76"/>
      <c r="P21" s="76"/>
      <c r="Q21" s="76"/>
      <c r="R21" s="76"/>
      <c r="S21" s="77"/>
      <c r="T21" s="78"/>
    </row>
    <row r="22">
      <c r="M22" s="75"/>
      <c r="N22" s="76"/>
      <c r="O22" s="76"/>
      <c r="P22" s="76"/>
      <c r="Q22" s="76"/>
      <c r="R22" s="76"/>
      <c r="S22" s="77"/>
      <c r="T22" s="78"/>
    </row>
    <row r="23">
      <c r="M23" s="83"/>
      <c r="N23" s="84"/>
      <c r="O23" s="84"/>
      <c r="P23" s="84"/>
      <c r="Q23" s="84"/>
      <c r="R23" s="84"/>
      <c r="S23" s="85"/>
      <c r="T23" s="78"/>
    </row>
    <row r="24"/>
    <row r="25"/>
    <row r="26"/>
    <row r="27"/>
    <row r="28"/>
    <row r="29"/>
    <row r="30"/>
    <row r="31"/>
    <row r="32"/>
    <row r="33"/>
    <row r="34"/>
    <row r="35"/>
    <row r="36"/>
    <row r="37"/>
    <row r="38"/>
    <row r="39"/>
    <row r="40"/>
    <row r="41"/>
    <row r="42"/>
    <row r="43"/>
    <row r="44"/>
    <row r="45"/>
    <row r="46"/>
    <row r="47"/>
    <row r="48"/>
    <row r="49"/>
    <row r="50"/>
    <row r="51"/>
    <row r="52"/>
    <row r="53"/>
    <row r="54"/>
    <row r="55"/>
    <row r="56"/>
    <row r="57"/>
  </sheetData>
  <conditionalFormatting sqref="D3:D55">
    <cfRule type="expression" dxfId="5" priority="1">
      <formula>D3&gt;$O$5</formula>
    </cfRule>
  </conditionalFormatting>
  <conditionalFormatting sqref="D3:D55">
    <cfRule type="expression" dxfId="6" priority="2">
      <formula>D3&lt;$O$5</formula>
    </cfRule>
  </conditionalFormatting>
  <conditionalFormatting sqref="E3:E55">
    <cfRule type="expression" dxfId="5" priority="3">
      <formula>E3&gt;$P$5</formula>
    </cfRule>
  </conditionalFormatting>
  <conditionalFormatting sqref="E3:E55">
    <cfRule type="expression" dxfId="6" priority="4">
      <formula>E3 &lt; $P$5</formula>
    </cfRule>
  </conditionalFormatting>
  <conditionalFormatting sqref="F3:F55">
    <cfRule type="expression" dxfId="5" priority="5">
      <formula>F3&gt;$Q$5</formula>
    </cfRule>
  </conditionalFormatting>
  <conditionalFormatting sqref="F3:F55">
    <cfRule type="expression" dxfId="6" priority="6">
      <formula>F3&lt;$Q$5</formula>
    </cfRule>
  </conditionalFormatting>
  <conditionalFormatting sqref="G3:G55">
    <cfRule type="expression" dxfId="5" priority="7">
      <formula>G3&gt;$R$5</formula>
    </cfRule>
  </conditionalFormatting>
  <conditionalFormatting sqref="G3:G55">
    <cfRule type="expression" dxfId="6" priority="8">
      <formula>G3&lt;$R$5</formula>
    </cfRule>
  </conditionalFormatting>
  <conditionalFormatting sqref="H3:H55">
    <cfRule type="expression" dxfId="5" priority="9">
      <formula>H3&gt;$S$5</formula>
    </cfRule>
  </conditionalFormatting>
  <conditionalFormatting sqref="H3:H55">
    <cfRule type="expression" dxfId="6" priority="10">
      <formula>H3&lt;$S$5</formula>
    </cfRule>
  </conditionalFormatting>
  <conditionalFormatting sqref="C19:C55">
    <cfRule type="expression" dxfId="5" priority="11">
      <formula>C3&gt;$N$5</formula>
    </cfRule>
  </conditionalFormatting>
  <conditionalFormatting sqref="C19:C55">
    <cfRule type="expression" dxfId="6" priority="12">
      <formula>C3&lt;$N$5</formula>
    </cfRule>
  </conditionalFormatting>
  <conditionalFormatting sqref="I3:I55">
    <cfRule type="expression" dxfId="5" priority="13">
      <formula>I3 &gt;= $T$5</formula>
    </cfRule>
  </conditionalFormatting>
  <conditionalFormatting sqref="I3:I55">
    <cfRule type="expression" dxfId="6" priority="14">
      <formula>I3 &lt; $T$5</formula>
    </cfRule>
  </conditionalFormatting>
  <printOptions gridLines="1" horizontalCentered="1"/>
  <pageMargins bottom="0.75" footer="0.0" header="0.0" left="0.7" right="0.7" top="0.75"/>
  <pageSetup fitToHeight="0" cellComments="atEnd" orientation="landscape" pageOrder="overThenDown"/>
  <drawing r:id="rId2"/>
  <tableParts count="3">
    <tablePart r:id="rId6"/>
    <tablePart r:id="rId7"/>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2.0"/>
    <col customWidth="1" min="2" max="2" width="18.89"/>
    <col customWidth="1" min="7" max="7" width="16.67"/>
    <col customWidth="1" min="8" max="8" width="23.44"/>
    <col customWidth="1" min="13" max="13" width="18.56"/>
    <col customWidth="1" min="15" max="15" width="13.56"/>
    <col customWidth="1" hidden="1" min="17" max="17" width="54.33"/>
    <col hidden="1" min="18" max="19" width="11.22"/>
  </cols>
  <sheetData>
    <row r="1">
      <c r="A1" s="86"/>
      <c r="B1" s="86"/>
      <c r="C1" s="86"/>
      <c r="D1" s="86"/>
      <c r="E1" s="86"/>
      <c r="F1" s="86"/>
      <c r="G1" s="86"/>
      <c r="H1" s="86"/>
      <c r="I1" s="86"/>
      <c r="J1" s="86"/>
      <c r="K1" s="86"/>
      <c r="L1" s="86"/>
      <c r="M1" s="86"/>
      <c r="N1" s="86"/>
      <c r="O1" s="86"/>
      <c r="P1" s="86"/>
      <c r="Q1" s="86"/>
      <c r="R1" s="86"/>
      <c r="S1" s="86"/>
      <c r="T1" s="86"/>
      <c r="U1" s="86"/>
      <c r="V1" s="86"/>
      <c r="W1" s="86"/>
      <c r="X1" s="86"/>
      <c r="Y1" s="86"/>
      <c r="Z1" s="86"/>
    </row>
    <row r="2">
      <c r="A2" s="86"/>
      <c r="B2" s="87"/>
      <c r="C2" s="86"/>
      <c r="D2" s="86"/>
      <c r="E2" s="86"/>
      <c r="F2" s="86"/>
      <c r="G2" s="86"/>
      <c r="H2" s="86"/>
      <c r="I2" s="86"/>
      <c r="J2" s="86"/>
      <c r="K2" s="86"/>
      <c r="L2" s="86"/>
      <c r="M2" s="86"/>
      <c r="N2" s="86"/>
      <c r="O2" s="86"/>
      <c r="P2" s="86"/>
      <c r="Q2" s="86"/>
      <c r="R2" s="86"/>
      <c r="S2" s="86"/>
      <c r="T2" s="86"/>
      <c r="U2" s="86"/>
      <c r="V2" s="86"/>
      <c r="W2" s="86"/>
      <c r="X2" s="86"/>
      <c r="Y2" s="86"/>
      <c r="Z2" s="86"/>
    </row>
    <row r="3">
      <c r="A3" s="86"/>
      <c r="B3" s="86"/>
      <c r="C3" s="86"/>
      <c r="D3" s="86"/>
      <c r="E3" s="86"/>
      <c r="F3" s="86"/>
      <c r="G3" s="86"/>
      <c r="H3" s="86"/>
      <c r="I3" s="86"/>
      <c r="J3" s="86"/>
      <c r="K3" s="86"/>
      <c r="L3" s="86"/>
      <c r="M3" s="86"/>
      <c r="N3" s="86"/>
      <c r="O3" s="86"/>
      <c r="P3" s="86"/>
      <c r="Q3" s="86"/>
      <c r="R3" s="86"/>
      <c r="S3" s="86"/>
      <c r="T3" s="86"/>
      <c r="U3" s="86"/>
      <c r="V3" s="86"/>
      <c r="W3" s="86"/>
      <c r="X3" s="86"/>
      <c r="Y3" s="86"/>
      <c r="Z3" s="86"/>
    </row>
    <row r="4">
      <c r="A4" s="86"/>
      <c r="B4" s="86"/>
      <c r="C4" s="86"/>
      <c r="D4" s="86"/>
      <c r="E4" s="86"/>
      <c r="F4" s="86"/>
      <c r="G4" s="88" t="s">
        <v>128</v>
      </c>
      <c r="H4" s="89">
        <f>GETPIVOTDATA("Sandwiches",ByWeekofYear!$C$2)</f>
        <v>2004432</v>
      </c>
      <c r="I4" s="86"/>
      <c r="J4" s="86"/>
      <c r="K4" s="86"/>
      <c r="L4" s="86"/>
      <c r="M4" s="86"/>
      <c r="N4" s="86"/>
      <c r="O4" s="86"/>
      <c r="P4" s="86"/>
      <c r="Q4" s="86"/>
      <c r="R4" s="86"/>
      <c r="S4" s="86"/>
      <c r="T4" s="86"/>
      <c r="U4" s="86"/>
      <c r="V4" s="86"/>
      <c r="W4" s="86"/>
      <c r="X4" s="86"/>
      <c r="Y4" s="86"/>
      <c r="Z4" s="86"/>
    </row>
    <row r="5">
      <c r="A5" s="86"/>
      <c r="B5" s="86"/>
      <c r="C5" s="86"/>
      <c r="D5" s="86"/>
      <c r="E5" s="86"/>
      <c r="F5" s="86"/>
      <c r="G5" s="86"/>
      <c r="H5" s="86"/>
      <c r="I5" s="86"/>
      <c r="J5" s="86"/>
      <c r="K5" s="86"/>
      <c r="L5" s="86"/>
      <c r="M5" s="90" t="s">
        <v>129</v>
      </c>
      <c r="N5" s="91">
        <f>IFERROR(__xludf.DUMMYFUNCTION("QUERY(InputData!A2:F1024, ""SELECT MAX(A) WHERE F = YEAR(NOW()) GROUP BY F LABEL MAX(A) ''  "" )"),45875.0)</f>
        <v>45875</v>
      </c>
      <c r="O5" s="86"/>
      <c r="P5" s="86"/>
      <c r="Q5" s="86"/>
      <c r="R5" s="86"/>
      <c r="S5" s="86"/>
      <c r="T5" s="86"/>
      <c r="U5" s="86"/>
      <c r="V5" s="86"/>
      <c r="W5" s="86"/>
      <c r="X5" s="86"/>
      <c r="Y5" s="86"/>
      <c r="Z5" s="86"/>
    </row>
    <row r="6">
      <c r="A6" s="86"/>
      <c r="B6" s="86"/>
      <c r="C6" s="86"/>
      <c r="D6" s="86"/>
      <c r="E6" s="86"/>
      <c r="F6" s="86"/>
      <c r="G6" s="86"/>
      <c r="H6" s="86"/>
      <c r="I6" s="86"/>
      <c r="J6" s="86"/>
      <c r="K6" s="86"/>
      <c r="L6" s="86"/>
      <c r="M6" s="86"/>
      <c r="N6" s="86"/>
      <c r="O6" s="86"/>
      <c r="P6" s="86"/>
      <c r="Q6" s="86"/>
      <c r="R6" s="86"/>
      <c r="S6" s="86"/>
      <c r="T6" s="86"/>
      <c r="U6" s="86"/>
      <c r="V6" s="86"/>
      <c r="W6" s="86"/>
      <c r="X6" s="86"/>
      <c r="Y6" s="86"/>
      <c r="Z6" s="86"/>
    </row>
    <row r="7">
      <c r="A7" s="86"/>
      <c r="B7" s="86"/>
      <c r="C7" s="86"/>
      <c r="D7" s="86"/>
      <c r="E7" s="86"/>
      <c r="F7" s="86"/>
      <c r="G7" s="86"/>
      <c r="H7" s="86"/>
      <c r="I7" s="86"/>
      <c r="J7" s="86"/>
      <c r="K7" s="86"/>
      <c r="L7" s="86"/>
      <c r="M7" s="86"/>
      <c r="N7" s="86"/>
      <c r="O7" s="86"/>
      <c r="P7" s="86"/>
      <c r="Q7" s="86"/>
      <c r="R7" s="86"/>
      <c r="S7" s="86"/>
      <c r="T7" s="86"/>
      <c r="U7" s="86"/>
      <c r="V7" s="86"/>
      <c r="W7" s="86"/>
      <c r="X7" s="86"/>
      <c r="Y7" s="86"/>
      <c r="Z7" s="86"/>
    </row>
    <row r="8">
      <c r="A8" s="86"/>
      <c r="B8" s="86"/>
      <c r="C8" s="86"/>
      <c r="D8" s="86"/>
      <c r="E8" s="86"/>
      <c r="F8" s="86"/>
      <c r="G8" s="86"/>
      <c r="H8" s="86"/>
      <c r="I8" s="86"/>
      <c r="J8" s="86"/>
      <c r="K8" s="86"/>
      <c r="L8" s="86"/>
      <c r="M8" s="86"/>
      <c r="N8" s="86"/>
      <c r="O8" s="86"/>
      <c r="P8" s="86"/>
      <c r="Q8" s="86"/>
      <c r="R8" s="86"/>
      <c r="S8" s="86"/>
      <c r="T8" s="86"/>
      <c r="U8" s="86"/>
      <c r="V8" s="86"/>
      <c r="W8" s="86"/>
      <c r="X8" s="86"/>
      <c r="Y8" s="86"/>
      <c r="Z8" s="86"/>
    </row>
    <row r="9">
      <c r="A9" s="86"/>
      <c r="B9" s="86"/>
      <c r="C9" s="86"/>
      <c r="D9" s="86"/>
      <c r="E9" s="86"/>
      <c r="F9" s="86"/>
      <c r="G9" s="86"/>
      <c r="H9" s="86"/>
      <c r="I9" s="86"/>
      <c r="J9" s="86"/>
      <c r="K9" s="86"/>
      <c r="L9" s="86"/>
      <c r="M9" s="86"/>
      <c r="N9" s="86"/>
      <c r="O9" s="86"/>
      <c r="P9" s="86"/>
      <c r="Q9" s="86"/>
      <c r="R9" s="86"/>
      <c r="S9" s="86"/>
      <c r="T9" s="86"/>
      <c r="U9" s="86"/>
      <c r="V9" s="86"/>
      <c r="W9" s="86"/>
      <c r="X9" s="86"/>
      <c r="Y9" s="86"/>
      <c r="Z9" s="86"/>
    </row>
    <row r="10">
      <c r="A10" s="86"/>
      <c r="B10" s="86"/>
      <c r="C10" s="86"/>
      <c r="D10" s="86"/>
      <c r="E10" s="86"/>
      <c r="F10" s="86"/>
      <c r="G10" s="86"/>
      <c r="H10" s="86"/>
      <c r="I10" s="86"/>
      <c r="J10" s="86"/>
      <c r="K10" s="86"/>
      <c r="L10" s="86"/>
      <c r="M10" s="86"/>
      <c r="N10" s="86"/>
      <c r="O10" s="86"/>
      <c r="P10" s="86"/>
      <c r="Q10" s="86"/>
      <c r="R10" s="86"/>
      <c r="S10" s="86"/>
      <c r="T10" s="86"/>
      <c r="U10" s="86"/>
      <c r="V10" s="86"/>
      <c r="W10" s="86"/>
      <c r="X10" s="86"/>
      <c r="Y10" s="86"/>
      <c r="Z10" s="86"/>
    </row>
    <row r="11">
      <c r="A11" s="86"/>
      <c r="B11" s="86"/>
      <c r="C11" s="86"/>
      <c r="D11" s="86"/>
      <c r="E11" s="86"/>
      <c r="F11" s="86"/>
      <c r="G11" s="86"/>
      <c r="H11" s="86"/>
      <c r="I11" s="86"/>
      <c r="J11" s="86"/>
      <c r="K11" s="86"/>
      <c r="L11" s="86"/>
      <c r="M11" s="86"/>
      <c r="N11" s="86"/>
      <c r="O11" s="86"/>
      <c r="P11" s="86"/>
      <c r="Q11" s="86"/>
      <c r="R11" s="86"/>
      <c r="S11" s="86"/>
      <c r="T11" s="86"/>
      <c r="U11" s="86"/>
      <c r="V11" s="86"/>
      <c r="W11" s="86"/>
      <c r="X11" s="86"/>
      <c r="Y11" s="86"/>
      <c r="Z11" s="86"/>
    </row>
    <row r="12">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c r="A27" s="86"/>
      <c r="B27" s="92"/>
      <c r="C27" s="93">
        <v>2022.0</v>
      </c>
      <c r="D27" s="93">
        <v>2023.0</v>
      </c>
      <c r="E27" s="93">
        <v>2024.0</v>
      </c>
      <c r="F27" s="93" t="s">
        <v>130</v>
      </c>
      <c r="G27" s="86"/>
      <c r="K27" s="86"/>
      <c r="L27" s="86"/>
      <c r="M27" s="94">
        <v>2025.0</v>
      </c>
      <c r="N27" s="95"/>
      <c r="O27" s="96"/>
      <c r="P27" s="86"/>
      <c r="T27" s="86"/>
      <c r="U27" s="86"/>
      <c r="V27" s="86"/>
      <c r="W27" s="86"/>
      <c r="X27" s="86"/>
      <c r="Y27" s="86"/>
      <c r="Z27" s="86"/>
    </row>
    <row r="28">
      <c r="A28" s="86"/>
      <c r="B28" s="97" t="s">
        <v>132</v>
      </c>
      <c r="C28" s="98">
        <f>GETPIVOTDATA("Sandwiches",ByWeekofYear!$A$1, "Year","2022")</f>
        <v>434825</v>
      </c>
      <c r="D28" s="98">
        <f>GETPIVOTDATA("Sandwiches",ByWeekofYear!$A$1, "Year","2023")</f>
        <v>489186</v>
      </c>
      <c r="E28" s="98">
        <f>GETPIVOTDATA("Sandwiches",ByWeekofYear!$A$1, "Year","2024")</f>
        <v>465242</v>
      </c>
      <c r="F28" s="98">
        <f>GETPIVOTDATA("Sandwiches",ByWeekofYear!$A$1, "Year","2025")</f>
        <v>288838</v>
      </c>
      <c r="G28" s="86"/>
      <c r="K28" s="86"/>
      <c r="L28" s="86"/>
      <c r="M28" s="99" t="s">
        <v>28</v>
      </c>
      <c r="N28" s="99" t="s">
        <v>29</v>
      </c>
      <c r="O28" s="99" t="s">
        <v>133</v>
      </c>
      <c r="P28" s="86"/>
      <c r="T28" s="86"/>
      <c r="U28" s="86"/>
      <c r="V28" s="86"/>
      <c r="W28" s="86"/>
      <c r="X28" s="86"/>
      <c r="Y28" s="86"/>
      <c r="Z28" s="86"/>
    </row>
    <row r="29">
      <c r="A29" s="86"/>
      <c r="B29" s="97" t="s">
        <v>134</v>
      </c>
      <c r="C29" s="100">
        <v>1.3</v>
      </c>
      <c r="D29" s="100">
        <v>1.3</v>
      </c>
      <c r="E29" s="100">
        <v>1.3</v>
      </c>
      <c r="F29" s="100">
        <v>1.3</v>
      </c>
      <c r="G29" s="86"/>
      <c r="K29" s="86"/>
      <c r="L29" s="86"/>
      <c r="M29" s="101" t="s">
        <v>135</v>
      </c>
      <c r="N29" s="102">
        <f>GETPIVOTDATA("Sandwiches",Dashboard!$R$29,"Year", "2025", "Location", "GROUPS Numbers displayed only when not included in a host's count.")</f>
        <v>60675</v>
      </c>
      <c r="O29" s="103">
        <f>GETPIVOTDATA("% of Year Total",Dashboard!$R$28,"Year", "2025", "Location", "GROUPS Numbers displayed only when not included in a host's count.")</f>
        <v>0.2654849832</v>
      </c>
      <c r="P29" s="86"/>
      <c r="T29" s="86"/>
      <c r="U29" s="86"/>
      <c r="V29" s="86"/>
      <c r="W29" s="86"/>
      <c r="X29" s="86"/>
      <c r="Y29" s="86"/>
      <c r="Z29" s="86"/>
    </row>
    <row r="30">
      <c r="A30" s="86"/>
      <c r="B30" s="104" t="s">
        <v>136</v>
      </c>
      <c r="C30" s="105">
        <f t="shared" ref="C30:F30" si="1">+C28*C29</f>
        <v>565272.5</v>
      </c>
      <c r="D30" s="105">
        <f t="shared" si="1"/>
        <v>635941.8</v>
      </c>
      <c r="E30" s="105">
        <f t="shared" si="1"/>
        <v>604814.6</v>
      </c>
      <c r="F30" s="105">
        <f t="shared" si="1"/>
        <v>375489.4</v>
      </c>
      <c r="G30" s="86"/>
      <c r="K30" s="86"/>
      <c r="L30" s="86"/>
      <c r="M30" s="101" t="s">
        <v>137</v>
      </c>
      <c r="N30" s="102">
        <f>GETPIVOTDATA("Sandwiches",Dashboard!$R$29,"Year", "2025", "Location", "DUNWOODY/PTC (Marcy, Lisa, Darren, Renee, Suzanna, Sonika, Tracie)")</f>
        <v>38444</v>
      </c>
      <c r="O30" s="103">
        <f>GETPIVOTDATA("% of Year Total",Dashboard!$R$28,"Year", "2025", "Location", "DUNWOODY/PTC (Marcy, Lisa, Darren, Renee, Suzanna, Sonika, Tracie)")</f>
        <v>0.1682126855</v>
      </c>
      <c r="P30" s="86"/>
      <c r="T30" s="86"/>
      <c r="U30" s="86"/>
      <c r="V30" s="86"/>
      <c r="W30" s="86"/>
      <c r="X30" s="86"/>
      <c r="Y30" s="86"/>
      <c r="Z30" s="86"/>
    </row>
    <row r="31">
      <c r="A31" s="86"/>
      <c r="B31" s="86"/>
      <c r="C31" s="86"/>
      <c r="D31" s="86"/>
      <c r="E31" s="86"/>
      <c r="F31" s="86"/>
      <c r="G31" s="86"/>
      <c r="K31" s="86"/>
      <c r="L31" s="86"/>
      <c r="M31" s="101" t="s">
        <v>138</v>
      </c>
      <c r="N31" s="102">
        <f>GETPIVOTDATA("Sandwiches",Dashboard!$R$28,"Year", "2025", "Location", "ALPHARETTA ( Karen, Nancy, Carrey, Kelly, Jason)")</f>
        <v>34867</v>
      </c>
      <c r="O31" s="103">
        <f>GETPIVOTDATA("% of Year Total",Dashboard!$R$28,"Year", "2025", "Location", "ALPHARETTA ( Karen, Nancy, Carrey, Kelly, Jason)")</f>
        <v>0.1525614324</v>
      </c>
      <c r="P31" s="86"/>
      <c r="T31" s="86"/>
      <c r="U31" s="86"/>
      <c r="V31" s="86"/>
      <c r="W31" s="86"/>
      <c r="X31" s="86"/>
      <c r="Y31" s="86"/>
      <c r="Z31" s="86"/>
    </row>
    <row r="32">
      <c r="A32" s="86"/>
      <c r="B32" s="86"/>
      <c r="C32" s="86"/>
      <c r="D32" s="86"/>
      <c r="E32" s="86"/>
      <c r="F32" s="86"/>
      <c r="G32" s="86"/>
      <c r="K32" s="86"/>
      <c r="L32" s="86"/>
      <c r="M32" s="101" t="s">
        <v>139</v>
      </c>
      <c r="N32" s="102">
        <f>GETPIVOTDATA("Sandwiches",Dashboard!$R$28,"Year", "2025", "Location", "E COBB/ROSWELL (Natalie, Silke, Vicki, Rachel, Judy, Jenny)")</f>
        <v>27976</v>
      </c>
      <c r="O32" s="103">
        <f>GETPIVOTDATA("% of Year Total",Dashboard!$R$28,"Year", "2025", "Location", "E COBB/ROSWELL (Natalie, Silke, Vicki, Rachel, Judy, Jenny)")</f>
        <v>0.1224096892</v>
      </c>
      <c r="P32" s="86"/>
      <c r="T32" s="86"/>
      <c r="U32" s="86"/>
      <c r="V32" s="86"/>
      <c r="W32" s="86"/>
      <c r="X32" s="86"/>
      <c r="Y32" s="86"/>
      <c r="Z32" s="86"/>
    </row>
    <row r="33">
      <c r="A33" s="86"/>
      <c r="B33" s="86"/>
      <c r="C33" s="86"/>
      <c r="D33" s="86"/>
      <c r="E33" s="86"/>
      <c r="F33" s="86"/>
      <c r="G33" s="86"/>
      <c r="K33" s="86"/>
      <c r="L33" s="86"/>
      <c r="M33" s="101" t="s">
        <v>140</v>
      </c>
      <c r="N33" s="102">
        <f>GETPIVOTDATA("Sandwiches",Dashboard!$R$28,"Year", "2025", "Location", "INTOWN/DRUID HILLS (Laura, Jordan, Angie, Della, Julie, Ashley)")</f>
        <v>24824</v>
      </c>
      <c r="O33" s="103">
        <f>GETPIVOTDATA("% of Year Total",Dashboard!$R$28,"Year", "2025", "Location", "INTOWN/DRUID HILLS (Laura, Jordan, Angie, Della, Julie, Ashley)")</f>
        <v>0.1086180342</v>
      </c>
      <c r="P33" s="86"/>
      <c r="T33" s="86"/>
      <c r="U33" s="86"/>
      <c r="V33" s="86"/>
      <c r="W33" s="86"/>
      <c r="X33" s="86"/>
      <c r="Y33" s="86"/>
      <c r="Z33" s="86"/>
    </row>
    <row r="34">
      <c r="A34" s="86"/>
      <c r="B34" s="86"/>
      <c r="C34" s="86"/>
      <c r="D34" s="86"/>
      <c r="E34" s="86"/>
      <c r="F34" s="86"/>
      <c r="G34" s="86"/>
      <c r="K34" s="86"/>
      <c r="L34" s="86"/>
      <c r="M34" s="101" t="s">
        <v>141</v>
      </c>
      <c r="N34" s="102">
        <f>GETPIVOTDATA("Sandwiches",Dashboard!$R$28,"Year", "2025", "Location", "SANDY SPRINGS (Allison, Jen, Terri, Sarah, Kate)")</f>
        <v>13201</v>
      </c>
      <c r="O34" s="103">
        <f>GETPIVOTDATA("% of Year Total",Dashboard!$R$28,"Year", "2025", "Location", "SANDY SPRINGS (Allison, Jen, Terri, Sarah, Kate)")</f>
        <v>0.05776130636</v>
      </c>
      <c r="P34" s="86"/>
      <c r="T34" s="86"/>
      <c r="U34" s="86"/>
      <c r="V34" s="86"/>
      <c r="W34" s="86"/>
      <c r="X34" s="86"/>
      <c r="Y34" s="86"/>
      <c r="Z34" s="86"/>
    </row>
    <row r="35">
      <c r="A35" s="86"/>
      <c r="B35" s="86"/>
      <c r="C35" s="86"/>
      <c r="D35" s="86"/>
      <c r="E35" s="86"/>
      <c r="F35" s="86"/>
      <c r="G35" s="86"/>
      <c r="K35" s="86"/>
      <c r="L35" s="86"/>
      <c r="M35" s="101" t="s">
        <v>142</v>
      </c>
      <c r="N35" s="102">
        <f>GETPIVOTDATA("Sandwiches",Dashboard!$R$28,"Year", "2025", "Location", "FLOWERY BRANCH (Kristina)")</f>
        <v>7026</v>
      </c>
      <c r="O35" s="103">
        <f>GETPIVOTDATA("% of Year Total",Dashboard!$R$28,"Year", "2025", "Location", "FLOWERY BRANCH (Kristina)")</f>
        <v>0.03074243909</v>
      </c>
      <c r="P35" s="86"/>
      <c r="T35" s="86"/>
      <c r="U35" s="86"/>
      <c r="V35" s="86"/>
      <c r="W35" s="86"/>
      <c r="X35" s="86"/>
      <c r="Y35" s="86"/>
      <c r="Z35" s="86"/>
    </row>
    <row r="36">
      <c r="A36" s="86"/>
      <c r="B36" s="86"/>
      <c r="C36" s="86"/>
      <c r="D36" s="86"/>
      <c r="E36" s="86"/>
      <c r="F36" s="86"/>
      <c r="G36" s="86"/>
      <c r="K36" s="86"/>
      <c r="L36" s="86"/>
      <c r="M36" s="101" t="s">
        <v>143</v>
      </c>
      <c r="N36" s="102">
        <f>GETPIVOTDATA("Sandwiches",Dashboard!$R$28,"Year", "2025", "Location", "Collective Learning")</f>
        <v>1825</v>
      </c>
      <c r="O36" s="103">
        <f>GETPIVOTDATA("% of Year Total",Dashboard!$R$28,"Year", "2025", "Location", "Collective Learning")</f>
        <v>0.00798533324</v>
      </c>
      <c r="P36" s="86"/>
      <c r="T36" s="86"/>
      <c r="U36" s="86"/>
      <c r="V36" s="86"/>
      <c r="W36" s="86"/>
      <c r="X36" s="86"/>
      <c r="Y36" s="86"/>
      <c r="Z36" s="86"/>
    </row>
    <row r="37">
      <c r="A37" s="86"/>
      <c r="B37" s="86"/>
      <c r="C37" s="86"/>
      <c r="D37" s="86"/>
      <c r="E37" s="86"/>
      <c r="F37" s="86"/>
      <c r="G37" s="86"/>
      <c r="K37" s="86"/>
      <c r="L37" s="86"/>
      <c r="M37" s="107" t="s">
        <v>56</v>
      </c>
      <c r="N37" s="108">
        <f t="shared" ref="N37:O37" si="2">SUM(N29:N36)</f>
        <v>208838</v>
      </c>
      <c r="O37" s="109">
        <f t="shared" si="2"/>
        <v>0.9137759031</v>
      </c>
      <c r="P37" s="86"/>
      <c r="T37" s="86"/>
      <c r="U37" s="86"/>
      <c r="V37" s="86"/>
      <c r="W37" s="86"/>
      <c r="X37" s="86"/>
      <c r="Y37" s="86"/>
      <c r="Z37" s="86"/>
    </row>
    <row r="38">
      <c r="A38" s="86"/>
      <c r="B38" s="86"/>
      <c r="C38" s="86"/>
      <c r="D38" s="86"/>
      <c r="E38" s="86"/>
      <c r="F38" s="86"/>
      <c r="G38" s="86"/>
      <c r="K38" s="86"/>
      <c r="L38" s="86"/>
      <c r="M38" s="86"/>
      <c r="N38" s="86"/>
      <c r="O38" s="86"/>
      <c r="P38" s="86"/>
      <c r="T38" s="86"/>
      <c r="U38" s="86"/>
      <c r="V38" s="86"/>
      <c r="W38" s="86"/>
      <c r="X38" s="86"/>
      <c r="Y38" s="86"/>
      <c r="Z38" s="86"/>
    </row>
    <row r="39">
      <c r="A39" s="86"/>
      <c r="B39" s="86"/>
      <c r="C39" s="86"/>
      <c r="D39" s="86"/>
      <c r="E39" s="86"/>
      <c r="F39" s="86"/>
      <c r="G39" s="86"/>
      <c r="K39" s="86"/>
      <c r="L39" s="86"/>
      <c r="M39" s="86"/>
      <c r="N39" s="86"/>
      <c r="O39" s="86"/>
      <c r="P39" s="86"/>
      <c r="T39" s="86"/>
      <c r="U39" s="86"/>
      <c r="V39" s="86"/>
      <c r="W39" s="86"/>
      <c r="X39" s="86"/>
      <c r="Y39" s="86"/>
      <c r="Z39" s="86"/>
    </row>
    <row r="40">
      <c r="A40" s="86"/>
      <c r="B40" s="86"/>
      <c r="C40" s="86"/>
      <c r="D40" s="86"/>
      <c r="E40" s="86"/>
      <c r="F40" s="86"/>
      <c r="G40" s="86"/>
      <c r="K40" s="86"/>
      <c r="L40" s="86"/>
      <c r="M40" s="86"/>
      <c r="N40" s="86"/>
      <c r="O40" s="86"/>
      <c r="P40" s="86"/>
      <c r="Q40" s="86"/>
      <c r="R40" s="86"/>
      <c r="S40" s="86"/>
      <c r="T40" s="86"/>
      <c r="U40" s="86"/>
      <c r="V40" s="86"/>
      <c r="W40" s="86"/>
      <c r="X40" s="86"/>
      <c r="Y40" s="86"/>
      <c r="Z40" s="86"/>
    </row>
    <row r="41">
      <c r="A41" s="86"/>
      <c r="B41" s="86"/>
      <c r="C41" s="86"/>
      <c r="D41" s="86"/>
      <c r="E41" s="86"/>
      <c r="F41" s="86"/>
      <c r="G41" s="86"/>
      <c r="K41" s="86"/>
      <c r="L41" s="86"/>
      <c r="M41" s="86"/>
      <c r="N41" s="86"/>
      <c r="O41" s="86"/>
      <c r="P41" s="86"/>
      <c r="T41" s="86"/>
      <c r="U41" s="86"/>
      <c r="V41" s="86"/>
      <c r="W41" s="86"/>
      <c r="X41" s="86"/>
      <c r="Y41" s="86"/>
      <c r="Z41" s="86"/>
    </row>
    <row r="42">
      <c r="A42" s="86"/>
      <c r="B42" s="86"/>
      <c r="C42" s="86"/>
      <c r="D42" s="86"/>
      <c r="E42" s="86"/>
      <c r="F42" s="86"/>
      <c r="G42" s="86"/>
      <c r="K42" s="86"/>
      <c r="L42" s="86"/>
      <c r="M42" s="86"/>
      <c r="N42" s="86"/>
      <c r="O42" s="86"/>
      <c r="P42" s="86"/>
      <c r="T42" s="86"/>
      <c r="U42" s="86"/>
      <c r="V42" s="86"/>
      <c r="W42" s="86"/>
      <c r="X42" s="86"/>
      <c r="Y42" s="86"/>
      <c r="Z42" s="86"/>
    </row>
    <row r="43">
      <c r="A43" s="86"/>
      <c r="B43" s="86"/>
      <c r="C43" s="86"/>
      <c r="D43" s="86"/>
      <c r="E43" s="86"/>
      <c r="F43" s="86"/>
      <c r="G43" s="86"/>
      <c r="K43" s="86"/>
      <c r="L43" s="86"/>
      <c r="M43" s="86"/>
      <c r="N43" s="86"/>
      <c r="O43" s="86"/>
      <c r="P43" s="86"/>
      <c r="T43" s="86"/>
      <c r="U43" s="86"/>
      <c r="V43" s="86"/>
      <c r="W43" s="86"/>
      <c r="X43" s="86"/>
      <c r="Y43" s="86"/>
      <c r="Z43" s="86"/>
    </row>
    <row r="44">
      <c r="A44" s="86"/>
      <c r="B44" s="86"/>
      <c r="C44" s="86"/>
      <c r="D44" s="86"/>
      <c r="E44" s="86"/>
      <c r="F44" s="86"/>
      <c r="G44" s="86"/>
      <c r="K44" s="86"/>
      <c r="L44" s="86"/>
      <c r="M44" s="86"/>
      <c r="N44" s="86"/>
      <c r="O44" s="86"/>
      <c r="P44" s="86"/>
      <c r="T44" s="86"/>
      <c r="U44" s="86"/>
      <c r="V44" s="86"/>
      <c r="W44" s="86"/>
      <c r="X44" s="86"/>
      <c r="Y44" s="86"/>
      <c r="Z44" s="86"/>
    </row>
    <row r="45">
      <c r="A45" s="86"/>
      <c r="B45" s="86"/>
      <c r="C45" s="86"/>
      <c r="D45" s="86"/>
      <c r="E45" s="86"/>
      <c r="F45" s="86"/>
      <c r="G45" s="86"/>
      <c r="K45" s="86"/>
      <c r="L45" s="86"/>
      <c r="M45" s="86"/>
      <c r="N45" s="86"/>
      <c r="O45" s="86"/>
      <c r="P45" s="86"/>
      <c r="T45" s="86"/>
      <c r="U45" s="86"/>
      <c r="V45" s="86"/>
      <c r="W45" s="86"/>
      <c r="X45" s="86"/>
      <c r="Y45" s="86"/>
      <c r="Z45" s="86"/>
    </row>
    <row r="46">
      <c r="A46" s="86"/>
      <c r="B46" s="86"/>
      <c r="C46" s="86"/>
      <c r="D46" s="86"/>
      <c r="E46" s="86"/>
      <c r="F46" s="86"/>
      <c r="G46" s="86"/>
      <c r="K46" s="86"/>
      <c r="L46" s="86"/>
      <c r="M46" s="86"/>
      <c r="N46" s="86"/>
      <c r="O46" s="86"/>
      <c r="P46" s="86"/>
      <c r="T46" s="86"/>
      <c r="U46" s="86"/>
      <c r="V46" s="86"/>
      <c r="W46" s="86"/>
      <c r="X46" s="86"/>
      <c r="Y46" s="86"/>
      <c r="Z46" s="86"/>
    </row>
    <row r="47">
      <c r="A47" s="86"/>
      <c r="B47" s="86"/>
      <c r="C47" s="86"/>
      <c r="D47" s="86"/>
      <c r="E47" s="86"/>
      <c r="F47" s="86"/>
      <c r="G47" s="86"/>
      <c r="K47" s="86"/>
      <c r="L47" s="86"/>
      <c r="M47" s="86"/>
      <c r="N47" s="86"/>
      <c r="O47" s="86"/>
      <c r="P47" s="86"/>
      <c r="T47" s="86"/>
      <c r="U47" s="86"/>
      <c r="V47" s="86"/>
      <c r="W47" s="86"/>
      <c r="X47" s="86"/>
      <c r="Y47" s="86"/>
      <c r="Z47" s="86"/>
    </row>
    <row r="48">
      <c r="A48" s="86"/>
      <c r="B48" s="86"/>
      <c r="C48" s="86"/>
      <c r="D48" s="86"/>
      <c r="E48" s="86"/>
      <c r="F48" s="86"/>
      <c r="G48" s="86"/>
      <c r="K48" s="86"/>
      <c r="L48" s="86"/>
      <c r="M48" s="86"/>
      <c r="N48" s="86"/>
      <c r="O48" s="86"/>
      <c r="P48" s="86"/>
      <c r="T48" s="86"/>
      <c r="U48" s="86"/>
      <c r="V48" s="86"/>
      <c r="W48" s="86"/>
      <c r="X48" s="86"/>
      <c r="Y48" s="86"/>
      <c r="Z48" s="86"/>
    </row>
    <row r="49">
      <c r="A49" s="86"/>
      <c r="B49" s="86"/>
      <c r="C49" s="86"/>
      <c r="D49" s="86"/>
      <c r="E49" s="86"/>
      <c r="F49" s="86"/>
      <c r="G49" s="86"/>
      <c r="K49" s="86"/>
      <c r="L49" s="86"/>
      <c r="M49" s="86"/>
      <c r="N49" s="86"/>
      <c r="O49" s="86"/>
      <c r="P49" s="86"/>
      <c r="T49" s="86"/>
      <c r="U49" s="86"/>
      <c r="V49" s="86"/>
      <c r="W49" s="86"/>
      <c r="X49" s="86"/>
      <c r="Y49" s="86"/>
      <c r="Z49" s="86"/>
    </row>
    <row r="50">
      <c r="A50" s="86"/>
      <c r="B50" s="86"/>
      <c r="C50" s="86"/>
      <c r="D50" s="86"/>
      <c r="E50" s="86"/>
      <c r="F50" s="86"/>
      <c r="G50" s="86"/>
      <c r="K50" s="86"/>
      <c r="L50" s="86"/>
      <c r="M50" s="86"/>
      <c r="N50" s="86"/>
      <c r="O50" s="86"/>
      <c r="P50" s="86"/>
      <c r="T50" s="86"/>
      <c r="U50" s="86"/>
      <c r="V50" s="86"/>
      <c r="W50" s="86"/>
      <c r="X50" s="86"/>
      <c r="Y50" s="86"/>
      <c r="Z50" s="86"/>
    </row>
    <row r="51">
      <c r="A51" s="86"/>
      <c r="B51" s="86"/>
      <c r="C51" s="86"/>
      <c r="D51" s="86"/>
      <c r="E51" s="86"/>
      <c r="F51" s="86"/>
      <c r="G51" s="86"/>
      <c r="K51" s="86"/>
      <c r="L51" s="86"/>
      <c r="M51" s="86"/>
      <c r="N51" s="86"/>
      <c r="O51" s="86"/>
      <c r="P51" s="86"/>
      <c r="T51" s="86"/>
      <c r="U51" s="86"/>
      <c r="V51" s="86"/>
      <c r="W51" s="86"/>
      <c r="X51" s="86"/>
      <c r="Y51" s="86"/>
      <c r="Z51" s="86"/>
    </row>
    <row r="52">
      <c r="A52" s="86"/>
      <c r="B52" s="86"/>
      <c r="C52" s="86"/>
      <c r="D52" s="86"/>
      <c r="E52" s="86"/>
      <c r="F52" s="86"/>
      <c r="G52" s="86"/>
      <c r="K52" s="86"/>
      <c r="L52" s="86"/>
      <c r="M52" s="86"/>
      <c r="N52" s="86"/>
      <c r="O52" s="86"/>
      <c r="P52" s="86"/>
      <c r="T52" s="86"/>
      <c r="U52" s="86"/>
      <c r="V52" s="86"/>
      <c r="W52" s="86"/>
      <c r="X52" s="86"/>
      <c r="Y52" s="86"/>
      <c r="Z52" s="86"/>
    </row>
    <row r="53">
      <c r="A53" s="86"/>
      <c r="B53" s="86"/>
      <c r="C53" s="86"/>
      <c r="D53" s="86"/>
      <c r="E53" s="86"/>
      <c r="F53" s="86"/>
      <c r="G53" s="86"/>
      <c r="K53" s="86"/>
      <c r="L53" s="86"/>
      <c r="M53" s="86"/>
      <c r="N53" s="86"/>
      <c r="O53" s="86"/>
      <c r="P53" s="86"/>
      <c r="Q53" s="86"/>
      <c r="R53" s="86"/>
      <c r="S53" s="86"/>
      <c r="T53" s="86"/>
      <c r="U53" s="86"/>
      <c r="V53" s="86"/>
      <c r="W53" s="86"/>
      <c r="X53" s="86"/>
      <c r="Y53" s="86"/>
      <c r="Z53" s="86"/>
    </row>
    <row r="54">
      <c r="A54" s="86"/>
      <c r="B54" s="86"/>
      <c r="C54" s="86"/>
      <c r="D54" s="86"/>
      <c r="E54" s="86"/>
      <c r="F54" s="86"/>
      <c r="G54" s="86"/>
      <c r="K54" s="86"/>
      <c r="L54" s="86"/>
      <c r="M54" s="86"/>
      <c r="N54" s="86"/>
      <c r="O54" s="86"/>
      <c r="P54" s="86"/>
      <c r="Q54" s="86"/>
      <c r="R54" s="86"/>
      <c r="S54" s="86"/>
      <c r="T54" s="86"/>
      <c r="U54" s="86"/>
      <c r="V54" s="86"/>
      <c r="W54" s="86"/>
      <c r="X54" s="86"/>
      <c r="Y54" s="86"/>
      <c r="Z54" s="86"/>
    </row>
    <row r="55">
      <c r="A55" s="86"/>
      <c r="B55" s="86"/>
      <c r="C55" s="86"/>
      <c r="D55" s="86"/>
      <c r="E55" s="86"/>
      <c r="F55" s="86"/>
      <c r="G55" s="86"/>
      <c r="K55" s="86"/>
      <c r="L55" s="86"/>
      <c r="M55" s="86"/>
      <c r="N55" s="86"/>
      <c r="O55" s="86"/>
      <c r="P55" s="86"/>
      <c r="Q55" s="86"/>
      <c r="R55" s="86"/>
      <c r="S55" s="86"/>
      <c r="T55" s="86"/>
      <c r="U55" s="86"/>
      <c r="V55" s="86"/>
      <c r="W55" s="86"/>
      <c r="X55" s="86"/>
      <c r="Y55" s="86"/>
      <c r="Z55" s="86"/>
    </row>
    <row r="56">
      <c r="A56" s="86"/>
      <c r="B56" s="86"/>
      <c r="C56" s="86"/>
      <c r="D56" s="86"/>
      <c r="E56" s="86"/>
      <c r="F56" s="86"/>
      <c r="G56" s="86"/>
      <c r="K56" s="86"/>
      <c r="L56" s="86"/>
      <c r="M56" s="86"/>
      <c r="N56" s="86"/>
      <c r="O56" s="86"/>
      <c r="P56" s="86"/>
      <c r="Q56" s="111"/>
      <c r="R56" s="112" t="s">
        <v>32</v>
      </c>
      <c r="S56" s="112" t="s">
        <v>131</v>
      </c>
      <c r="T56" s="86"/>
      <c r="U56" s="86"/>
      <c r="V56" s="86"/>
      <c r="W56" s="86"/>
      <c r="X56" s="86"/>
      <c r="Y56" s="86"/>
      <c r="Z56" s="86"/>
    </row>
    <row r="57">
      <c r="A57" s="86"/>
      <c r="B57" s="86"/>
      <c r="C57" s="86"/>
      <c r="D57" s="86"/>
      <c r="E57" s="86"/>
      <c r="F57" s="86"/>
      <c r="G57" s="86"/>
      <c r="K57" s="86"/>
      <c r="L57" s="86"/>
      <c r="M57" s="86"/>
      <c r="N57" s="86"/>
      <c r="O57" s="86"/>
      <c r="P57" s="86"/>
      <c r="Q57" s="111"/>
      <c r="R57" s="113">
        <v>2025.0</v>
      </c>
      <c r="S57" s="114"/>
      <c r="T57" s="86"/>
      <c r="U57" s="86"/>
      <c r="V57" s="86"/>
      <c r="W57" s="86"/>
      <c r="X57" s="86"/>
      <c r="Y57" s="86"/>
      <c r="Z57" s="86"/>
    </row>
    <row r="58">
      <c r="A58" s="86"/>
      <c r="B58" s="86"/>
      <c r="C58" s="86"/>
      <c r="D58" s="86"/>
      <c r="E58" s="86"/>
      <c r="F58" s="86"/>
      <c r="G58" s="86"/>
      <c r="K58" s="86"/>
      <c r="L58" s="86"/>
      <c r="M58" s="86"/>
      <c r="N58" s="86"/>
      <c r="O58" s="86"/>
      <c r="P58" s="86"/>
      <c r="Q58" s="115" t="s">
        <v>28</v>
      </c>
      <c r="R58" s="116" t="s">
        <v>29</v>
      </c>
      <c r="S58" s="117" t="s">
        <v>133</v>
      </c>
      <c r="T58" s="86"/>
      <c r="U58" s="86"/>
      <c r="V58" s="86"/>
      <c r="W58" s="86"/>
      <c r="X58" s="86"/>
      <c r="Y58" s="86"/>
      <c r="Z58" s="86"/>
    </row>
    <row r="59">
      <c r="A59" s="86"/>
      <c r="B59" s="86"/>
      <c r="C59" s="86"/>
      <c r="D59" s="86"/>
      <c r="E59" s="86"/>
      <c r="F59" s="86"/>
      <c r="G59" s="86"/>
      <c r="K59" s="86"/>
      <c r="L59" s="86"/>
      <c r="M59" s="86"/>
      <c r="N59" s="86"/>
      <c r="O59" s="86"/>
      <c r="P59" s="86"/>
      <c r="Q59" s="118" t="s">
        <v>34</v>
      </c>
      <c r="R59" s="119">
        <v>63935.0</v>
      </c>
      <c r="S59" s="120">
        <v>0.2902205194781614</v>
      </c>
      <c r="T59" s="86"/>
      <c r="U59" s="86"/>
      <c r="V59" s="86"/>
      <c r="W59" s="86"/>
      <c r="X59" s="86"/>
      <c r="Y59" s="86"/>
      <c r="Z59" s="86"/>
    </row>
    <row r="60">
      <c r="A60" s="86"/>
      <c r="B60" s="86"/>
      <c r="C60" s="86"/>
      <c r="D60" s="86"/>
      <c r="E60" s="86"/>
      <c r="F60" s="86"/>
      <c r="G60" s="86"/>
      <c r="K60" s="86"/>
      <c r="L60" s="86"/>
      <c r="M60" s="86"/>
      <c r="N60" s="86"/>
      <c r="O60" s="86"/>
      <c r="P60" s="86"/>
      <c r="Q60" s="118" t="s">
        <v>36</v>
      </c>
      <c r="R60" s="119">
        <v>38444.0</v>
      </c>
      <c r="S60" s="120">
        <v>0.17450907407239286</v>
      </c>
      <c r="T60" s="86"/>
      <c r="U60" s="86"/>
      <c r="V60" s="86"/>
      <c r="W60" s="86"/>
      <c r="X60" s="86"/>
      <c r="Y60" s="86"/>
      <c r="Z60" s="86"/>
    </row>
    <row r="61">
      <c r="A61" s="86"/>
      <c r="B61" s="86"/>
      <c r="C61" s="86"/>
      <c r="D61" s="86"/>
      <c r="E61" s="86"/>
      <c r="F61" s="86"/>
      <c r="G61" s="86"/>
      <c r="K61" s="86"/>
      <c r="L61" s="86"/>
      <c r="M61" s="86"/>
      <c r="N61" s="86"/>
      <c r="O61" s="86"/>
      <c r="P61" s="86"/>
      <c r="Q61" s="118" t="s">
        <v>35</v>
      </c>
      <c r="R61" s="119">
        <v>34391.0</v>
      </c>
      <c r="S61" s="120">
        <v>0.15611126746497925</v>
      </c>
      <c r="T61" s="86"/>
      <c r="U61" s="86"/>
      <c r="V61" s="86"/>
      <c r="W61" s="86"/>
      <c r="X61" s="86"/>
      <c r="Y61" s="86"/>
      <c r="Z61" s="86"/>
    </row>
    <row r="62">
      <c r="A62" s="86"/>
      <c r="B62" s="86"/>
      <c r="C62" s="86"/>
      <c r="D62" s="86"/>
      <c r="E62" s="86"/>
      <c r="F62" s="86"/>
      <c r="G62" s="86"/>
      <c r="K62" s="86"/>
      <c r="L62" s="86"/>
      <c r="M62" s="86"/>
      <c r="N62" s="86"/>
      <c r="O62" s="86"/>
      <c r="P62" s="86"/>
      <c r="Q62" s="118" t="s">
        <v>37</v>
      </c>
      <c r="R62" s="119">
        <v>32710.0</v>
      </c>
      <c r="S62" s="120">
        <v>0.14848069433222272</v>
      </c>
      <c r="T62" s="86"/>
      <c r="U62" s="86"/>
      <c r="V62" s="86"/>
      <c r="W62" s="86"/>
      <c r="X62" s="86"/>
      <c r="Y62" s="86"/>
      <c r="Z62" s="86"/>
    </row>
    <row r="63">
      <c r="A63" s="86"/>
      <c r="B63" s="86"/>
      <c r="C63" s="86"/>
      <c r="D63" s="86"/>
      <c r="E63" s="86"/>
      <c r="F63" s="86"/>
      <c r="G63" s="86"/>
      <c r="K63" s="86"/>
      <c r="L63" s="86"/>
      <c r="M63" s="86"/>
      <c r="N63" s="86"/>
      <c r="O63" s="86"/>
      <c r="P63" s="86"/>
      <c r="Q63" s="118" t="s">
        <v>44</v>
      </c>
      <c r="R63" s="119">
        <v>24824.0</v>
      </c>
      <c r="S63" s="120">
        <v>0.11268372840425242</v>
      </c>
      <c r="T63" s="86"/>
      <c r="U63" s="86"/>
      <c r="V63" s="86"/>
      <c r="W63" s="86"/>
      <c r="X63" s="86"/>
      <c r="Y63" s="86"/>
      <c r="Z63" s="86"/>
    </row>
    <row r="64">
      <c r="A64" s="86"/>
      <c r="B64" s="86"/>
      <c r="C64" s="86"/>
      <c r="D64" s="86"/>
      <c r="E64" s="86"/>
      <c r="F64" s="86"/>
      <c r="G64" s="86"/>
      <c r="K64" s="86"/>
      <c r="L64" s="86"/>
      <c r="M64" s="86"/>
      <c r="N64" s="86"/>
      <c r="O64" s="86"/>
      <c r="P64" s="86"/>
      <c r="Q64" s="118" t="s">
        <v>40</v>
      </c>
      <c r="R64" s="119">
        <v>13868.0</v>
      </c>
      <c r="S64" s="120">
        <v>0.0629510935187791</v>
      </c>
      <c r="T64" s="86"/>
      <c r="U64" s="86"/>
      <c r="V64" s="86"/>
      <c r="W64" s="86"/>
      <c r="X64" s="86"/>
      <c r="Y64" s="86"/>
      <c r="Z64" s="86"/>
    </row>
    <row r="65">
      <c r="A65" s="86"/>
      <c r="B65" s="86"/>
      <c r="C65" s="86"/>
      <c r="D65" s="86"/>
      <c r="E65" s="86"/>
      <c r="F65" s="86"/>
      <c r="G65" s="86"/>
      <c r="K65" s="86"/>
      <c r="L65" s="86"/>
      <c r="M65" s="86"/>
      <c r="N65" s="86"/>
      <c r="O65" s="86"/>
      <c r="P65" s="86"/>
      <c r="Q65" s="118" t="s">
        <v>49</v>
      </c>
      <c r="R65" s="119">
        <v>7026.0</v>
      </c>
      <c r="S65" s="120">
        <v>0.03189316289752971</v>
      </c>
      <c r="T65" s="86"/>
      <c r="U65" s="86"/>
      <c r="V65" s="86"/>
      <c r="W65" s="86"/>
      <c r="X65" s="86"/>
      <c r="Y65" s="86"/>
      <c r="Z65" s="86"/>
    </row>
    <row r="66">
      <c r="A66" s="86"/>
      <c r="B66" s="86"/>
      <c r="C66" s="86"/>
      <c r="D66" s="86"/>
      <c r="E66" s="86"/>
      <c r="F66" s="86"/>
      <c r="G66" s="86"/>
      <c r="K66" s="86"/>
      <c r="L66" s="86"/>
      <c r="M66" s="86"/>
      <c r="N66" s="86"/>
      <c r="O66" s="86"/>
      <c r="P66" s="86"/>
      <c r="Q66" s="118" t="s">
        <v>51</v>
      </c>
      <c r="R66" s="119">
        <v>5100.0</v>
      </c>
      <c r="S66" s="120">
        <v>0.02315045983168254</v>
      </c>
      <c r="T66" s="86"/>
      <c r="U66" s="86"/>
      <c r="V66" s="86"/>
      <c r="W66" s="86"/>
      <c r="X66" s="86"/>
      <c r="Y66" s="86"/>
      <c r="Z66" s="86"/>
    </row>
    <row r="67">
      <c r="A67" s="86"/>
      <c r="B67" s="86"/>
      <c r="C67" s="86"/>
      <c r="D67" s="86"/>
      <c r="E67" s="86"/>
      <c r="F67" s="86"/>
      <c r="G67" s="86"/>
      <c r="K67" s="86"/>
      <c r="L67" s="86"/>
      <c r="M67" s="86"/>
      <c r="N67" s="86"/>
      <c r="O67" s="86"/>
      <c r="P67" s="86"/>
      <c r="Q67" s="121" t="s">
        <v>56</v>
      </c>
      <c r="R67" s="122">
        <v>220298.0</v>
      </c>
      <c r="S67" s="123">
        <v>1.0</v>
      </c>
      <c r="T67" s="86"/>
      <c r="U67" s="86"/>
      <c r="V67" s="86"/>
      <c r="W67" s="86"/>
      <c r="X67" s="86"/>
      <c r="Y67" s="86"/>
      <c r="Z67" s="86"/>
    </row>
    <row r="68">
      <c r="A68" s="86"/>
      <c r="B68" s="86"/>
      <c r="C68" s="86"/>
      <c r="D68" s="86"/>
      <c r="E68" s="86"/>
      <c r="F68" s="86"/>
      <c r="G68" s="86"/>
      <c r="K68" s="86"/>
      <c r="L68" s="86"/>
      <c r="M68" s="86"/>
      <c r="N68" s="86"/>
      <c r="O68" s="86"/>
      <c r="P68" s="86"/>
      <c r="Q68" s="86"/>
      <c r="R68" s="86"/>
      <c r="S68" s="86"/>
      <c r="T68" s="86"/>
      <c r="U68" s="86"/>
      <c r="V68" s="86"/>
      <c r="W68" s="86"/>
      <c r="X68" s="86"/>
      <c r="Y68" s="86"/>
      <c r="Z68" s="86"/>
    </row>
    <row r="69">
      <c r="A69" s="86"/>
      <c r="B69" s="86"/>
      <c r="C69" s="86"/>
      <c r="D69" s="86"/>
      <c r="E69" s="86"/>
      <c r="F69" s="86"/>
      <c r="G69" s="86"/>
      <c r="K69" s="86"/>
      <c r="L69" s="86"/>
      <c r="M69" s="86"/>
      <c r="N69" s="86"/>
      <c r="O69" s="86"/>
      <c r="P69" s="86"/>
      <c r="Q69" s="86"/>
      <c r="R69" s="86"/>
      <c r="S69" s="86"/>
      <c r="T69" s="86"/>
      <c r="U69" s="86"/>
      <c r="V69" s="86"/>
      <c r="W69" s="86"/>
      <c r="X69" s="86"/>
      <c r="Y69" s="86"/>
      <c r="Z69" s="86"/>
    </row>
    <row r="70">
      <c r="A70" s="86"/>
      <c r="B70" s="86"/>
      <c r="C70" s="86"/>
      <c r="D70" s="86"/>
      <c r="E70" s="86"/>
      <c r="F70" s="86"/>
      <c r="G70" s="86"/>
      <c r="K70" s="86"/>
      <c r="L70" s="86"/>
      <c r="M70" s="86"/>
      <c r="N70" s="86"/>
      <c r="O70" s="86"/>
      <c r="P70" s="86"/>
      <c r="Q70" s="86"/>
      <c r="R70" s="86"/>
      <c r="S70" s="86"/>
      <c r="T70" s="86"/>
      <c r="U70" s="86"/>
      <c r="V70" s="86"/>
      <c r="W70" s="86"/>
      <c r="X70" s="86"/>
      <c r="Y70" s="86"/>
      <c r="Z70" s="86"/>
    </row>
    <row r="71">
      <c r="A71" s="86"/>
      <c r="B71" s="86"/>
      <c r="C71" s="86"/>
      <c r="D71" s="86"/>
      <c r="E71" s="86"/>
      <c r="F71" s="86"/>
      <c r="G71" s="86"/>
      <c r="K71" s="86"/>
      <c r="L71" s="86"/>
      <c r="M71" s="86"/>
      <c r="N71" s="86"/>
      <c r="O71" s="86"/>
      <c r="P71" s="86"/>
      <c r="Q71" s="86"/>
      <c r="R71" s="86"/>
      <c r="S71" s="86"/>
      <c r="T71" s="86"/>
      <c r="U71" s="86"/>
      <c r="V71" s="86"/>
      <c r="W71" s="86"/>
      <c r="X71" s="86"/>
      <c r="Y71" s="86"/>
      <c r="Z71" s="86"/>
    </row>
    <row r="72">
      <c r="A72" s="86"/>
      <c r="B72" s="86"/>
      <c r="C72" s="86"/>
      <c r="D72" s="86"/>
      <c r="E72" s="86"/>
      <c r="F72" s="86"/>
      <c r="G72" s="86"/>
      <c r="K72" s="86"/>
      <c r="L72" s="86"/>
      <c r="M72" s="86"/>
      <c r="N72" s="86"/>
      <c r="O72" s="86"/>
      <c r="P72" s="86"/>
      <c r="Q72" s="86"/>
      <c r="R72" s="86"/>
      <c r="S72" s="86"/>
      <c r="T72" s="86"/>
      <c r="U72" s="86"/>
      <c r="V72" s="86"/>
      <c r="W72" s="86"/>
      <c r="X72" s="86"/>
      <c r="Y72" s="86"/>
      <c r="Z72" s="86"/>
    </row>
    <row r="73">
      <c r="A73" s="86"/>
      <c r="B73" s="86"/>
      <c r="C73" s="86"/>
      <c r="D73" s="86"/>
      <c r="E73" s="86"/>
      <c r="F73" s="86"/>
      <c r="G73" s="86"/>
      <c r="K73" s="86"/>
      <c r="L73" s="86"/>
      <c r="M73" s="86"/>
      <c r="N73" s="86"/>
      <c r="O73" s="86"/>
      <c r="P73" s="86"/>
      <c r="Q73" s="86"/>
      <c r="R73" s="86"/>
      <c r="S73" s="86"/>
      <c r="T73" s="86"/>
      <c r="U73" s="86"/>
      <c r="V73" s="86"/>
      <c r="W73" s="86"/>
      <c r="X73" s="86"/>
      <c r="Y73" s="86"/>
      <c r="Z73" s="86"/>
    </row>
    <row r="74">
      <c r="A74" s="86"/>
      <c r="B74" s="86"/>
      <c r="C74" s="86"/>
      <c r="D74" s="86"/>
      <c r="E74" s="86"/>
      <c r="F74" s="86"/>
      <c r="G74" s="86"/>
      <c r="K74" s="86"/>
      <c r="L74" s="86"/>
      <c r="M74" s="86"/>
      <c r="N74" s="86"/>
      <c r="O74" s="86"/>
      <c r="P74" s="86"/>
      <c r="Q74" s="86"/>
      <c r="R74" s="86"/>
      <c r="S74" s="86"/>
      <c r="T74" s="86"/>
      <c r="U74" s="86"/>
      <c r="V74" s="86"/>
      <c r="W74" s="86"/>
      <c r="X74" s="86"/>
      <c r="Y74" s="86"/>
      <c r="Z74" s="86"/>
    </row>
    <row r="75">
      <c r="A75" s="86"/>
      <c r="B75" s="86"/>
      <c r="C75" s="86"/>
      <c r="D75" s="86"/>
      <c r="E75" s="86"/>
      <c r="F75" s="86"/>
      <c r="G75" s="86"/>
      <c r="K75" s="86"/>
      <c r="L75" s="86"/>
      <c r="M75" s="86"/>
      <c r="N75" s="86"/>
      <c r="O75" s="86"/>
      <c r="P75" s="86"/>
      <c r="Q75" s="86"/>
      <c r="R75" s="86"/>
      <c r="S75" s="86"/>
      <c r="T75" s="86"/>
      <c r="U75" s="86"/>
      <c r="V75" s="86"/>
      <c r="W75" s="86"/>
      <c r="X75" s="86"/>
      <c r="Y75" s="86"/>
      <c r="Z75" s="86"/>
    </row>
    <row r="76">
      <c r="A76" s="86"/>
      <c r="B76" s="86"/>
      <c r="C76" s="86"/>
      <c r="D76" s="86"/>
      <c r="E76" s="86"/>
      <c r="F76" s="86"/>
      <c r="G76" s="86"/>
      <c r="K76" s="86"/>
      <c r="L76" s="86"/>
      <c r="M76" s="86"/>
      <c r="N76" s="86"/>
      <c r="O76" s="86"/>
      <c r="P76" s="86"/>
      <c r="Q76" s="86"/>
      <c r="R76" s="86"/>
      <c r="S76" s="86"/>
      <c r="T76" s="86"/>
      <c r="U76" s="86"/>
      <c r="V76" s="86"/>
      <c r="W76" s="86"/>
      <c r="X76" s="86"/>
      <c r="Y76" s="86"/>
      <c r="Z76" s="86"/>
    </row>
    <row r="77">
      <c r="A77" s="86"/>
      <c r="B77" s="86"/>
      <c r="C77" s="86"/>
      <c r="D77" s="86"/>
      <c r="E77" s="86"/>
      <c r="F77" s="86"/>
      <c r="G77" s="86"/>
      <c r="K77" s="86"/>
      <c r="L77" s="86"/>
      <c r="M77" s="86"/>
      <c r="N77" s="86"/>
      <c r="O77" s="86"/>
      <c r="P77" s="86"/>
      <c r="Q77" s="86"/>
      <c r="R77" s="86"/>
      <c r="S77" s="86"/>
      <c r="T77" s="86"/>
      <c r="U77" s="86"/>
      <c r="V77" s="86"/>
      <c r="W77" s="86"/>
      <c r="X77" s="86"/>
      <c r="Y77" s="86"/>
      <c r="Z77" s="86"/>
    </row>
    <row r="78">
      <c r="A78" s="86"/>
      <c r="B78" s="86"/>
      <c r="C78" s="86"/>
      <c r="D78" s="86"/>
      <c r="E78" s="86"/>
      <c r="F78" s="86"/>
      <c r="G78" s="86"/>
      <c r="K78" s="86"/>
      <c r="L78" s="86"/>
      <c r="M78" s="86"/>
      <c r="N78" s="86"/>
      <c r="O78" s="86"/>
      <c r="P78" s="86"/>
      <c r="Q78" s="86"/>
      <c r="R78" s="86"/>
      <c r="S78" s="86"/>
      <c r="T78" s="86"/>
      <c r="U78" s="86"/>
      <c r="V78" s="86"/>
      <c r="W78" s="86"/>
      <c r="X78" s="86"/>
      <c r="Y78" s="86"/>
      <c r="Z78" s="86"/>
    </row>
    <row r="79">
      <c r="A79" s="86"/>
      <c r="B79" s="86"/>
      <c r="C79" s="86"/>
      <c r="D79" s="86"/>
      <c r="E79" s="86"/>
      <c r="F79" s="86"/>
      <c r="G79" s="86"/>
      <c r="K79" s="86"/>
      <c r="L79" s="86"/>
      <c r="M79" s="86"/>
      <c r="N79" s="86"/>
      <c r="O79" s="86"/>
      <c r="P79" s="86"/>
      <c r="Q79" s="86"/>
      <c r="R79" s="86"/>
      <c r="S79" s="86"/>
      <c r="T79" s="86"/>
      <c r="U79" s="86"/>
      <c r="V79" s="86"/>
      <c r="W79" s="86"/>
      <c r="X79" s="86"/>
      <c r="Y79" s="86"/>
      <c r="Z79" s="86"/>
    </row>
    <row r="80">
      <c r="A80" s="86"/>
      <c r="B80" s="86"/>
      <c r="C80" s="86"/>
      <c r="D80" s="86"/>
      <c r="E80" s="86"/>
      <c r="F80" s="86"/>
      <c r="G80" s="86"/>
      <c r="K80" s="86"/>
      <c r="L80" s="86"/>
      <c r="M80" s="86"/>
      <c r="N80" s="86"/>
      <c r="O80" s="86"/>
      <c r="P80" s="86"/>
      <c r="Q80" s="86"/>
      <c r="R80" s="86"/>
      <c r="S80" s="86"/>
      <c r="T80" s="86"/>
      <c r="U80" s="86"/>
      <c r="V80" s="86"/>
      <c r="W80" s="86"/>
      <c r="X80" s="86"/>
      <c r="Y80" s="86"/>
      <c r="Z80" s="86"/>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row r="100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row>
    <row r="1002">
      <c r="A1002" s="86"/>
      <c r="B1002" s="86"/>
      <c r="C1002" s="86"/>
      <c r="D1002" s="86"/>
      <c r="E1002" s="86"/>
      <c r="F1002" s="86"/>
      <c r="G1002" s="86"/>
      <c r="H1002" s="86"/>
      <c r="I1002" s="86"/>
      <c r="J1002" s="86"/>
      <c r="K1002" s="86"/>
      <c r="L1002" s="86"/>
      <c r="M1002" s="86"/>
      <c r="N1002" s="86"/>
      <c r="O1002" s="86"/>
      <c r="P1002" s="86"/>
      <c r="Q1002" s="86"/>
      <c r="R1002" s="86"/>
      <c r="S1002" s="86"/>
      <c r="T1002" s="86"/>
      <c r="U1002" s="86"/>
      <c r="V1002" s="86"/>
      <c r="W1002" s="86"/>
      <c r="X1002" s="86"/>
      <c r="Y1002" s="86"/>
      <c r="Z1002" s="86"/>
    </row>
    <row r="1003">
      <c r="A1003" s="86"/>
      <c r="B1003" s="86"/>
      <c r="C1003" s="86"/>
      <c r="D1003" s="86"/>
      <c r="E1003" s="86"/>
      <c r="F1003" s="86"/>
      <c r="G1003" s="86"/>
      <c r="H1003" s="86"/>
      <c r="I1003" s="86"/>
      <c r="J1003" s="86"/>
      <c r="K1003" s="86"/>
      <c r="L1003" s="86"/>
      <c r="M1003" s="86"/>
      <c r="N1003" s="86"/>
      <c r="O1003" s="86"/>
      <c r="P1003" s="86"/>
      <c r="Q1003" s="86"/>
      <c r="R1003" s="86"/>
      <c r="S1003" s="86"/>
      <c r="T1003" s="86"/>
      <c r="U1003" s="86"/>
      <c r="V1003" s="86"/>
      <c r="W1003" s="86"/>
      <c r="X1003" s="86"/>
      <c r="Y1003" s="86"/>
      <c r="Z1003" s="86"/>
    </row>
    <row r="1004">
      <c r="A1004" s="86"/>
      <c r="B1004" s="86"/>
      <c r="C1004" s="86"/>
      <c r="D1004" s="86"/>
      <c r="E1004" s="86"/>
      <c r="F1004" s="86"/>
      <c r="G1004" s="86"/>
      <c r="H1004" s="86"/>
      <c r="I1004" s="86"/>
      <c r="J1004" s="86"/>
      <c r="K1004" s="86"/>
      <c r="L1004" s="86"/>
      <c r="M1004" s="86"/>
      <c r="N1004" s="86"/>
      <c r="O1004" s="86"/>
      <c r="P1004" s="86"/>
      <c r="Q1004" s="86"/>
      <c r="R1004" s="86"/>
      <c r="S1004" s="86"/>
      <c r="T1004" s="86"/>
      <c r="U1004" s="86"/>
      <c r="V1004" s="86"/>
      <c r="W1004" s="86"/>
      <c r="X1004" s="86"/>
      <c r="Y1004" s="86"/>
      <c r="Z1004" s="86"/>
    </row>
    <row r="1005">
      <c r="A1005" s="86"/>
      <c r="B1005" s="86"/>
      <c r="C1005" s="86"/>
      <c r="D1005" s="86"/>
      <c r="E1005" s="86"/>
      <c r="F1005" s="86"/>
      <c r="G1005" s="86"/>
      <c r="H1005" s="86"/>
      <c r="I1005" s="86"/>
      <c r="J1005" s="86"/>
      <c r="K1005" s="86"/>
      <c r="L1005" s="86"/>
      <c r="M1005" s="86"/>
      <c r="N1005" s="86"/>
      <c r="O1005" s="86"/>
      <c r="P1005" s="86"/>
      <c r="Q1005" s="86"/>
      <c r="R1005" s="86"/>
      <c r="S1005" s="86"/>
      <c r="T1005" s="86"/>
      <c r="U1005" s="86"/>
      <c r="V1005" s="86"/>
      <c r="W1005" s="86"/>
      <c r="X1005" s="86"/>
      <c r="Y1005" s="86"/>
      <c r="Z1005" s="86"/>
    </row>
    <row r="1006">
      <c r="A1006" s="86"/>
      <c r="B1006" s="86"/>
      <c r="C1006" s="86"/>
      <c r="D1006" s="86"/>
      <c r="E1006" s="86"/>
      <c r="F1006" s="86"/>
      <c r="G1006" s="86"/>
      <c r="H1006" s="86"/>
      <c r="I1006" s="86"/>
      <c r="J1006" s="86"/>
      <c r="K1006" s="86"/>
      <c r="L1006" s="86"/>
      <c r="M1006" s="86"/>
      <c r="N1006" s="86"/>
      <c r="O1006" s="86"/>
      <c r="P1006" s="86"/>
      <c r="Q1006" s="86"/>
      <c r="R1006" s="86"/>
      <c r="S1006" s="86"/>
      <c r="T1006" s="86"/>
      <c r="U1006" s="86"/>
      <c r="V1006" s="86"/>
      <c r="W1006" s="86"/>
      <c r="X1006" s="86"/>
      <c r="Y1006" s="86"/>
      <c r="Z1006" s="86"/>
    </row>
    <row r="1007">
      <c r="A1007" s="86"/>
      <c r="B1007" s="86"/>
      <c r="C1007" s="86"/>
      <c r="D1007" s="86"/>
      <c r="E1007" s="86"/>
      <c r="F1007" s="86"/>
      <c r="G1007" s="86"/>
      <c r="H1007" s="86"/>
      <c r="I1007" s="86"/>
      <c r="J1007" s="86"/>
      <c r="K1007" s="86"/>
      <c r="L1007" s="86"/>
      <c r="M1007" s="86"/>
      <c r="N1007" s="86"/>
      <c r="O1007" s="86"/>
      <c r="P1007" s="86"/>
      <c r="Q1007" s="86"/>
      <c r="R1007" s="86"/>
      <c r="S1007" s="86"/>
      <c r="T1007" s="86"/>
      <c r="U1007" s="86"/>
      <c r="V1007" s="86"/>
      <c r="W1007" s="86"/>
      <c r="X1007" s="86"/>
      <c r="Y1007" s="86"/>
      <c r="Z1007" s="86"/>
    </row>
    <row r="1008">
      <c r="A1008" s="86"/>
      <c r="B1008" s="86"/>
      <c r="C1008" s="86"/>
      <c r="D1008" s="86"/>
      <c r="E1008" s="86"/>
      <c r="F1008" s="86"/>
      <c r="G1008" s="86"/>
      <c r="H1008" s="86"/>
      <c r="I1008" s="86"/>
      <c r="J1008" s="86"/>
      <c r="K1008" s="86"/>
      <c r="L1008" s="86"/>
      <c r="M1008" s="86"/>
      <c r="N1008" s="86"/>
      <c r="O1008" s="86"/>
      <c r="P1008" s="86"/>
      <c r="Q1008" s="86"/>
      <c r="R1008" s="86"/>
      <c r="S1008" s="86"/>
      <c r="T1008" s="86"/>
      <c r="U1008" s="86"/>
      <c r="V1008" s="86"/>
      <c r="W1008" s="86"/>
      <c r="X1008" s="86"/>
      <c r="Y1008" s="86"/>
      <c r="Z1008" s="86"/>
    </row>
    <row r="1009">
      <c r="A1009" s="86"/>
      <c r="B1009" s="86"/>
      <c r="C1009" s="86"/>
      <c r="D1009" s="86"/>
      <c r="E1009" s="86"/>
      <c r="F1009" s="86"/>
      <c r="G1009" s="86"/>
      <c r="H1009" s="86"/>
      <c r="I1009" s="86"/>
      <c r="J1009" s="86"/>
      <c r="K1009" s="86"/>
      <c r="L1009" s="86"/>
      <c r="M1009" s="86"/>
      <c r="N1009" s="86"/>
      <c r="O1009" s="86"/>
      <c r="P1009" s="86"/>
      <c r="Q1009" s="86"/>
      <c r="R1009" s="86"/>
      <c r="S1009" s="86"/>
      <c r="T1009" s="86"/>
      <c r="U1009" s="86"/>
      <c r="V1009" s="86"/>
      <c r="W1009" s="86"/>
      <c r="X1009" s="86"/>
      <c r="Y1009" s="86"/>
      <c r="Z1009" s="86"/>
    </row>
    <row r="1010">
      <c r="A1010" s="86"/>
      <c r="B1010" s="86"/>
      <c r="C1010" s="86"/>
      <c r="D1010" s="86"/>
      <c r="E1010" s="86"/>
      <c r="F1010" s="86"/>
      <c r="G1010" s="86"/>
      <c r="H1010" s="86"/>
      <c r="I1010" s="86"/>
      <c r="J1010" s="86"/>
      <c r="K1010" s="86"/>
      <c r="L1010" s="86"/>
      <c r="M1010" s="86"/>
      <c r="N1010" s="86"/>
      <c r="O1010" s="86"/>
      <c r="P1010" s="86"/>
      <c r="Q1010" s="86"/>
      <c r="R1010" s="86"/>
      <c r="S1010" s="86"/>
      <c r="T1010" s="86"/>
      <c r="U1010" s="86"/>
      <c r="V1010" s="86"/>
      <c r="W1010" s="86"/>
      <c r="X1010" s="86"/>
      <c r="Y1010" s="86"/>
      <c r="Z1010" s="86"/>
    </row>
    <row r="1011">
      <c r="A1011" s="86"/>
      <c r="B1011" s="86"/>
      <c r="C1011" s="86"/>
      <c r="D1011" s="86"/>
      <c r="E1011" s="86"/>
      <c r="F1011" s="86"/>
      <c r="G1011" s="86"/>
      <c r="H1011" s="86"/>
      <c r="I1011" s="86"/>
      <c r="J1011" s="86"/>
      <c r="K1011" s="86"/>
      <c r="L1011" s="86"/>
      <c r="M1011" s="86"/>
      <c r="N1011" s="86"/>
      <c r="O1011" s="86"/>
      <c r="P1011" s="86"/>
      <c r="Q1011" s="86"/>
      <c r="R1011" s="86"/>
      <c r="S1011" s="86"/>
      <c r="T1011" s="86"/>
      <c r="U1011" s="86"/>
      <c r="V1011" s="86"/>
      <c r="W1011" s="86"/>
      <c r="X1011" s="86"/>
      <c r="Y1011" s="86"/>
      <c r="Z1011" s="86"/>
    </row>
    <row r="1012">
      <c r="A1012" s="86"/>
      <c r="B1012" s="86"/>
      <c r="C1012" s="86"/>
      <c r="D1012" s="86"/>
      <c r="E1012" s="86"/>
      <c r="F1012" s="86"/>
      <c r="G1012" s="86"/>
      <c r="H1012" s="86"/>
      <c r="I1012" s="86"/>
      <c r="J1012" s="86"/>
      <c r="K1012" s="86"/>
      <c r="L1012" s="86"/>
      <c r="M1012" s="86"/>
      <c r="N1012" s="86"/>
      <c r="O1012" s="86"/>
      <c r="P1012" s="86"/>
      <c r="Q1012" s="86"/>
      <c r="R1012" s="86"/>
      <c r="S1012" s="86"/>
      <c r="T1012" s="86"/>
      <c r="U1012" s="86"/>
      <c r="V1012" s="86"/>
      <c r="W1012" s="86"/>
      <c r="X1012" s="86"/>
      <c r="Y1012" s="86"/>
      <c r="Z1012" s="86"/>
    </row>
    <row r="1013">
      <c r="A1013" s="86"/>
      <c r="B1013" s="86"/>
      <c r="C1013" s="86"/>
      <c r="D1013" s="86"/>
      <c r="E1013" s="86"/>
      <c r="F1013" s="86"/>
      <c r="G1013" s="86"/>
      <c r="H1013" s="86"/>
      <c r="I1013" s="86"/>
      <c r="J1013" s="86"/>
      <c r="K1013" s="86"/>
      <c r="L1013" s="86"/>
      <c r="M1013" s="86"/>
      <c r="N1013" s="86"/>
      <c r="O1013" s="86"/>
      <c r="P1013" s="86"/>
      <c r="Q1013" s="86"/>
      <c r="R1013" s="86"/>
      <c r="S1013" s="86"/>
      <c r="T1013" s="86"/>
      <c r="U1013" s="86"/>
      <c r="V1013" s="86"/>
      <c r="W1013" s="86"/>
      <c r="X1013" s="86"/>
      <c r="Y1013" s="86"/>
      <c r="Z1013" s="86"/>
    </row>
    <row r="1014">
      <c r="A1014" s="86"/>
      <c r="B1014" s="86"/>
      <c r="C1014" s="86"/>
      <c r="D1014" s="86"/>
      <c r="E1014" s="86"/>
      <c r="F1014" s="86"/>
      <c r="G1014" s="86"/>
      <c r="H1014" s="86"/>
      <c r="I1014" s="86"/>
      <c r="J1014" s="86"/>
      <c r="K1014" s="86"/>
      <c r="L1014" s="86"/>
      <c r="M1014" s="86"/>
      <c r="N1014" s="86"/>
      <c r="O1014" s="86"/>
      <c r="P1014" s="86"/>
      <c r="Q1014" s="86"/>
      <c r="R1014" s="86"/>
      <c r="S1014" s="86"/>
      <c r="T1014" s="86"/>
      <c r="U1014" s="86"/>
      <c r="V1014" s="86"/>
      <c r="W1014" s="86"/>
      <c r="X1014" s="86"/>
      <c r="Y1014" s="86"/>
      <c r="Z1014" s="86"/>
    </row>
    <row r="1015">
      <c r="A1015" s="86"/>
      <c r="B1015" s="86"/>
      <c r="C1015" s="86"/>
      <c r="D1015" s="86"/>
      <c r="E1015" s="86"/>
      <c r="F1015" s="86"/>
      <c r="G1015" s="86"/>
      <c r="H1015" s="86"/>
      <c r="I1015" s="86"/>
      <c r="J1015" s="86"/>
      <c r="K1015" s="86"/>
      <c r="L1015" s="86"/>
      <c r="M1015" s="86"/>
      <c r="N1015" s="86"/>
      <c r="O1015" s="86"/>
      <c r="P1015" s="86"/>
      <c r="Q1015" s="86"/>
      <c r="R1015" s="86"/>
      <c r="S1015" s="86"/>
      <c r="T1015" s="86"/>
      <c r="U1015" s="86"/>
      <c r="V1015" s="86"/>
      <c r="W1015" s="86"/>
      <c r="X1015" s="86"/>
      <c r="Y1015" s="86"/>
      <c r="Z1015" s="86"/>
    </row>
    <row r="1016">
      <c r="A1016" s="86"/>
      <c r="B1016" s="86"/>
      <c r="C1016" s="86"/>
      <c r="D1016" s="86"/>
      <c r="E1016" s="86"/>
      <c r="F1016" s="86"/>
      <c r="G1016" s="86"/>
      <c r="H1016" s="86"/>
      <c r="I1016" s="86"/>
      <c r="J1016" s="86"/>
      <c r="K1016" s="86"/>
      <c r="L1016" s="86"/>
      <c r="M1016" s="86"/>
      <c r="N1016" s="86"/>
      <c r="O1016" s="86"/>
      <c r="P1016" s="86"/>
      <c r="Q1016" s="86"/>
      <c r="R1016" s="86"/>
      <c r="S1016" s="86"/>
      <c r="T1016" s="86"/>
      <c r="U1016" s="86"/>
      <c r="V1016" s="86"/>
      <c r="W1016" s="86"/>
      <c r="X1016" s="86"/>
      <c r="Y1016" s="86"/>
      <c r="Z1016" s="86"/>
    </row>
    <row r="1017">
      <c r="A1017" s="86"/>
      <c r="B1017" s="86"/>
      <c r="C1017" s="86"/>
      <c r="D1017" s="86"/>
      <c r="E1017" s="86"/>
      <c r="F1017" s="86"/>
      <c r="G1017" s="86"/>
      <c r="H1017" s="86"/>
      <c r="I1017" s="86"/>
      <c r="J1017" s="86"/>
      <c r="K1017" s="86"/>
      <c r="L1017" s="86"/>
      <c r="M1017" s="86"/>
      <c r="N1017" s="86"/>
      <c r="O1017" s="86"/>
      <c r="P1017" s="86"/>
      <c r="Q1017" s="86"/>
      <c r="R1017" s="86"/>
      <c r="S1017" s="86"/>
      <c r="T1017" s="86"/>
      <c r="U1017" s="86"/>
      <c r="V1017" s="86"/>
      <c r="W1017" s="86"/>
      <c r="X1017" s="86"/>
      <c r="Y1017" s="86"/>
      <c r="Z1017" s="86"/>
    </row>
    <row r="1018">
      <c r="A1018" s="86"/>
      <c r="B1018" s="86"/>
      <c r="C1018" s="86"/>
      <c r="D1018" s="86"/>
      <c r="E1018" s="86"/>
      <c r="F1018" s="86"/>
      <c r="G1018" s="86"/>
      <c r="H1018" s="86"/>
      <c r="I1018" s="86"/>
      <c r="J1018" s="86"/>
      <c r="K1018" s="86"/>
      <c r="L1018" s="86"/>
      <c r="M1018" s="86"/>
      <c r="N1018" s="86"/>
      <c r="O1018" s="86"/>
      <c r="P1018" s="86"/>
      <c r="Q1018" s="86"/>
      <c r="R1018" s="86"/>
      <c r="S1018" s="86"/>
      <c r="T1018" s="86"/>
      <c r="U1018" s="86"/>
      <c r="V1018" s="86"/>
      <c r="W1018" s="86"/>
      <c r="X1018" s="86"/>
      <c r="Y1018" s="86"/>
      <c r="Z1018" s="86"/>
    </row>
    <row r="1019">
      <c r="A1019" s="86"/>
      <c r="B1019" s="86"/>
      <c r="C1019" s="86"/>
      <c r="D1019" s="86"/>
      <c r="E1019" s="86"/>
      <c r="F1019" s="86"/>
      <c r="G1019" s="86"/>
      <c r="H1019" s="86"/>
      <c r="I1019" s="86"/>
      <c r="J1019" s="86"/>
      <c r="K1019" s="86"/>
      <c r="L1019" s="86"/>
      <c r="M1019" s="86"/>
      <c r="N1019" s="86"/>
      <c r="O1019" s="86"/>
      <c r="P1019" s="86"/>
      <c r="Q1019" s="86"/>
      <c r="R1019" s="86"/>
      <c r="S1019" s="86"/>
      <c r="T1019" s="86"/>
      <c r="U1019" s="86"/>
      <c r="V1019" s="86"/>
      <c r="W1019" s="86"/>
      <c r="X1019" s="86"/>
      <c r="Y1019" s="86"/>
      <c r="Z1019" s="86"/>
    </row>
    <row r="1020">
      <c r="A1020" s="86"/>
      <c r="B1020" s="86"/>
      <c r="C1020" s="86"/>
      <c r="D1020" s="86"/>
      <c r="E1020" s="86"/>
      <c r="F1020" s="86"/>
      <c r="G1020" s="86"/>
      <c r="H1020" s="86"/>
      <c r="I1020" s="86"/>
      <c r="J1020" s="86"/>
      <c r="K1020" s="86"/>
      <c r="L1020" s="86"/>
      <c r="M1020" s="86"/>
      <c r="N1020" s="86"/>
      <c r="O1020" s="86"/>
      <c r="P1020" s="86"/>
      <c r="Q1020" s="86"/>
      <c r="R1020" s="86"/>
      <c r="S1020" s="86"/>
      <c r="T1020" s="86"/>
      <c r="U1020" s="86"/>
      <c r="V1020" s="86"/>
      <c r="W1020" s="86"/>
      <c r="X1020" s="86"/>
      <c r="Y1020" s="86"/>
      <c r="Z1020" s="86"/>
    </row>
    <row r="1021">
      <c r="A1021" s="86"/>
      <c r="B1021" s="86"/>
      <c r="C1021" s="86"/>
      <c r="D1021" s="86"/>
      <c r="E1021" s="86"/>
      <c r="F1021" s="86"/>
      <c r="G1021" s="86"/>
      <c r="H1021" s="86"/>
      <c r="I1021" s="86"/>
      <c r="J1021" s="86"/>
      <c r="K1021" s="86"/>
      <c r="L1021" s="86"/>
      <c r="M1021" s="86"/>
      <c r="N1021" s="86"/>
      <c r="O1021" s="86"/>
      <c r="P1021" s="86"/>
      <c r="Q1021" s="86"/>
      <c r="R1021" s="86"/>
      <c r="S1021" s="86"/>
      <c r="T1021" s="86"/>
      <c r="U1021" s="86"/>
      <c r="V1021" s="86"/>
      <c r="W1021" s="86"/>
      <c r="X1021" s="86"/>
      <c r="Y1021" s="86"/>
      <c r="Z1021" s="86"/>
    </row>
    <row r="1022">
      <c r="A1022" s="86"/>
      <c r="B1022" s="86"/>
      <c r="C1022" s="86"/>
      <c r="D1022" s="86"/>
      <c r="E1022" s="86"/>
      <c r="F1022" s="86"/>
      <c r="G1022" s="86"/>
      <c r="H1022" s="86"/>
      <c r="I1022" s="86"/>
      <c r="J1022" s="86"/>
      <c r="K1022" s="86"/>
      <c r="L1022" s="86"/>
      <c r="M1022" s="86"/>
      <c r="N1022" s="86"/>
      <c r="O1022" s="86"/>
      <c r="P1022" s="86"/>
      <c r="Q1022" s="86"/>
      <c r="R1022" s="86"/>
      <c r="S1022" s="86"/>
      <c r="T1022" s="86"/>
      <c r="U1022" s="86"/>
      <c r="V1022" s="86"/>
      <c r="W1022" s="86"/>
      <c r="X1022" s="86"/>
      <c r="Y1022" s="86"/>
      <c r="Z1022" s="86"/>
    </row>
    <row r="1023">
      <c r="A1023" s="86"/>
      <c r="B1023" s="86"/>
      <c r="C1023" s="86"/>
      <c r="D1023" s="86"/>
      <c r="E1023" s="86"/>
      <c r="F1023" s="86"/>
      <c r="G1023" s="86"/>
      <c r="H1023" s="86"/>
      <c r="I1023" s="86"/>
      <c r="J1023" s="86"/>
      <c r="K1023" s="86"/>
      <c r="L1023" s="86"/>
      <c r="M1023" s="86"/>
      <c r="N1023" s="86"/>
      <c r="O1023" s="86"/>
      <c r="P1023" s="86"/>
      <c r="Q1023" s="86"/>
      <c r="R1023" s="86"/>
      <c r="S1023" s="86"/>
      <c r="T1023" s="86"/>
      <c r="U1023" s="86"/>
      <c r="V1023" s="86"/>
      <c r="W1023" s="86"/>
      <c r="X1023" s="86"/>
      <c r="Y1023" s="86"/>
      <c r="Z1023" s="86"/>
    </row>
    <row r="1024">
      <c r="A1024" s="86"/>
      <c r="B1024" s="86"/>
      <c r="C1024" s="86"/>
      <c r="D1024" s="86"/>
      <c r="E1024" s="86"/>
      <c r="F1024" s="86"/>
      <c r="G1024" s="86"/>
      <c r="H1024" s="86"/>
      <c r="I1024" s="86"/>
      <c r="J1024" s="86"/>
      <c r="K1024" s="86"/>
      <c r="L1024" s="86"/>
      <c r="M1024" s="86"/>
      <c r="N1024" s="86"/>
      <c r="O1024" s="86"/>
      <c r="P1024" s="86"/>
      <c r="Q1024" s="86"/>
      <c r="R1024" s="86"/>
      <c r="S1024" s="86"/>
      <c r="T1024" s="86"/>
      <c r="U1024" s="86"/>
      <c r="V1024" s="86"/>
      <c r="W1024" s="86"/>
      <c r="X1024" s="86"/>
      <c r="Y1024" s="86"/>
      <c r="Z1024" s="86"/>
    </row>
  </sheetData>
  <mergeCells count="1">
    <mergeCell ref="M27:O27"/>
  </mergeCells>
  <drawing r:id="rId3"/>
</worksheet>
</file>